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eq\Desktop\Python\World_Energy_Transition\"/>
    </mc:Choice>
  </mc:AlternateContent>
  <xr:revisionPtr revIDLastSave="0" documentId="13_ncr:1_{4C1A7FCC-8FBF-437F-8966-1A95627D9725}" xr6:coauthVersionLast="47" xr6:coauthVersionMax="47" xr10:uidLastSave="{00000000-0000-0000-0000-000000000000}"/>
  <bookViews>
    <workbookView xWindow="-120" yWindow="-120" windowWidth="29040" windowHeight="15720" activeTab="2" xr2:uid="{9C949BB8-DEF0-4CEC-ABF8-8FC3D8918EC4}"/>
  </bookViews>
  <sheets>
    <sheet name="data_quality_log" sheetId="2" r:id="rId1"/>
    <sheet name="global_renewable_energy_transit" sheetId="1" r:id="rId2"/>
    <sheet name="country_score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E25" i="3"/>
  <c r="E20" i="3"/>
  <c r="E4" i="3"/>
  <c r="E51" i="3"/>
  <c r="E18" i="3"/>
  <c r="E6" i="3"/>
  <c r="E15" i="3"/>
  <c r="E7" i="3"/>
  <c r="E23" i="3"/>
  <c r="E19" i="3"/>
  <c r="E31" i="3"/>
  <c r="E46" i="3"/>
  <c r="E14" i="3"/>
  <c r="E27" i="3"/>
  <c r="E5" i="3"/>
  <c r="E32" i="3"/>
  <c r="E38" i="3"/>
  <c r="E44" i="3"/>
  <c r="E50" i="3"/>
  <c r="E33" i="3"/>
  <c r="E13" i="3"/>
  <c r="E29" i="3"/>
  <c r="E40" i="3"/>
  <c r="E47" i="3"/>
  <c r="E30" i="3"/>
  <c r="E34" i="3"/>
  <c r="E9" i="3"/>
  <c r="E3" i="3"/>
  <c r="E24" i="3"/>
  <c r="E22" i="3"/>
  <c r="E45" i="3"/>
  <c r="E21" i="3"/>
  <c r="E17" i="3"/>
  <c r="E37" i="3"/>
  <c r="E48" i="3"/>
  <c r="E43" i="3"/>
  <c r="E41" i="3"/>
  <c r="E8" i="3"/>
  <c r="E11" i="3"/>
  <c r="E12" i="3"/>
  <c r="E39" i="3"/>
  <c r="E36" i="3"/>
  <c r="E16" i="3"/>
  <c r="E42" i="3"/>
  <c r="E10" i="3"/>
  <c r="E28" i="3"/>
  <c r="E35" i="3"/>
  <c r="E2" i="3"/>
  <c r="E26" i="3"/>
  <c r="E49" i="3"/>
  <c r="C25" i="3"/>
  <c r="C20" i="3"/>
  <c r="C4" i="3"/>
  <c r="C51" i="3"/>
  <c r="C18" i="3"/>
  <c r="C6" i="3"/>
  <c r="C15" i="3"/>
  <c r="C7" i="3"/>
  <c r="C23" i="3"/>
  <c r="C19" i="3"/>
  <c r="C31" i="3"/>
  <c r="C46" i="3"/>
  <c r="C14" i="3"/>
  <c r="C27" i="3"/>
  <c r="C5" i="3"/>
  <c r="C32" i="3"/>
  <c r="C38" i="3"/>
  <c r="C44" i="3"/>
  <c r="C50" i="3"/>
  <c r="C33" i="3"/>
  <c r="C13" i="3"/>
  <c r="C29" i="3"/>
  <c r="C40" i="3"/>
  <c r="C47" i="3"/>
  <c r="C30" i="3"/>
  <c r="C34" i="3"/>
  <c r="C9" i="3"/>
  <c r="C3" i="3"/>
  <c r="C24" i="3"/>
  <c r="C22" i="3"/>
  <c r="C45" i="3"/>
  <c r="C21" i="3"/>
  <c r="C17" i="3"/>
  <c r="C37" i="3"/>
  <c r="C48" i="3"/>
  <c r="C43" i="3"/>
  <c r="C41" i="3"/>
  <c r="C8" i="3"/>
  <c r="C11" i="3"/>
  <c r="C12" i="3"/>
  <c r="C39" i="3"/>
  <c r="C36" i="3"/>
  <c r="C16" i="3"/>
  <c r="C42" i="3"/>
  <c r="C10" i="3"/>
  <c r="C28" i="3"/>
  <c r="C35" i="3"/>
  <c r="C2" i="3"/>
  <c r="C26" i="3"/>
  <c r="C49" i="3"/>
  <c r="B25" i="3"/>
  <c r="B20" i="3"/>
  <c r="B4" i="3"/>
  <c r="B51" i="3"/>
  <c r="B18" i="3"/>
  <c r="B6" i="3"/>
  <c r="B15" i="3"/>
  <c r="B7" i="3"/>
  <c r="B23" i="3"/>
  <c r="B19" i="3"/>
  <c r="B31" i="3"/>
  <c r="B46" i="3"/>
  <c r="B14" i="3"/>
  <c r="B27" i="3"/>
  <c r="B5" i="3"/>
  <c r="B32" i="3"/>
  <c r="B38" i="3"/>
  <c r="B44" i="3"/>
  <c r="B50" i="3"/>
  <c r="B33" i="3"/>
  <c r="B13" i="3"/>
  <c r="B29" i="3"/>
  <c r="B40" i="3"/>
  <c r="B47" i="3"/>
  <c r="B30" i="3"/>
  <c r="B34" i="3"/>
  <c r="B9" i="3"/>
  <c r="B3" i="3"/>
  <c r="B24" i="3"/>
  <c r="B22" i="3"/>
  <c r="B45" i="3"/>
  <c r="B21" i="3"/>
  <c r="B17" i="3"/>
  <c r="B37" i="3"/>
  <c r="B48" i="3"/>
  <c r="B43" i="3"/>
  <c r="B41" i="3"/>
  <c r="B8" i="3"/>
  <c r="B11" i="3"/>
  <c r="B12" i="3"/>
  <c r="B39" i="3"/>
  <c r="B36" i="3"/>
  <c r="B16" i="3"/>
  <c r="B42" i="3"/>
  <c r="B10" i="3"/>
  <c r="B28" i="3"/>
  <c r="B35" i="3"/>
  <c r="B2" i="3"/>
  <c r="B26" i="3"/>
  <c r="B49" i="3"/>
  <c r="B7" i="2"/>
  <c r="B6" i="2"/>
  <c r="B5" i="2"/>
  <c r="B4" i="2"/>
  <c r="B3" i="2"/>
  <c r="B2" i="2"/>
  <c r="D25" i="3" l="1"/>
  <c r="D20" i="3"/>
  <c r="D4" i="3"/>
  <c r="D51" i="3"/>
  <c r="D18" i="3"/>
  <c r="D6" i="3"/>
  <c r="D15" i="3"/>
  <c r="D7" i="3"/>
  <c r="D23" i="3"/>
  <c r="D19" i="3"/>
  <c r="D31" i="3"/>
  <c r="D46" i="3"/>
  <c r="D14" i="3"/>
  <c r="D27" i="3"/>
  <c r="D5" i="3"/>
  <c r="D32" i="3"/>
  <c r="D38" i="3"/>
  <c r="D44" i="3"/>
  <c r="D50" i="3"/>
  <c r="D33" i="3"/>
  <c r="D13" i="3"/>
  <c r="D29" i="3"/>
  <c r="D40" i="3"/>
  <c r="D47" i="3"/>
  <c r="D30" i="3"/>
  <c r="D34" i="3"/>
  <c r="D9" i="3"/>
  <c r="D3" i="3"/>
  <c r="D24" i="3"/>
  <c r="D22" i="3"/>
  <c r="D45" i="3"/>
  <c r="D21" i="3"/>
  <c r="D17" i="3"/>
  <c r="D37" i="3"/>
  <c r="D48" i="3"/>
  <c r="D43" i="3"/>
  <c r="D41" i="3"/>
  <c r="D8" i="3"/>
  <c r="D11" i="3"/>
  <c r="D12" i="3"/>
  <c r="D39" i="3"/>
  <c r="D36" i="3"/>
  <c r="D16" i="3"/>
  <c r="D42" i="3"/>
  <c r="D10" i="3"/>
  <c r="D28" i="3"/>
  <c r="D35" i="3"/>
  <c r="D2" i="3"/>
  <c r="D26" i="3"/>
  <c r="D49" i="3"/>
  <c r="F2" i="3" l="1"/>
</calcChain>
</file>

<file path=xl/sharedStrings.xml><?xml version="1.0" encoding="utf-8"?>
<sst xmlns="http://schemas.openxmlformats.org/spreadsheetml/2006/main" count="4039" uniqueCount="158">
  <si>
    <t>country</t>
  </si>
  <si>
    <t>region</t>
  </si>
  <si>
    <t>income_group</t>
  </si>
  <si>
    <t>year</t>
  </si>
  <si>
    <t>population</t>
  </si>
  <si>
    <t>gdp_usd</t>
  </si>
  <si>
    <t>total_electricity_generation_twh</t>
  </si>
  <si>
    <t>electricity_demand_twh</t>
  </si>
  <si>
    <t>solar_electricity_twh</t>
  </si>
  <si>
    <t>wind_electricity_twh</t>
  </si>
  <si>
    <t>renewables_electricity_twh</t>
  </si>
  <si>
    <t>hydro_electricity_twh</t>
  </si>
  <si>
    <t>nuclear_electricity_twh</t>
  </si>
  <si>
    <t>fossil_electricity_twh</t>
  </si>
  <si>
    <t>solar_share_pct</t>
  </si>
  <si>
    <t>wind_share_pct</t>
  </si>
  <si>
    <t>renewables_share_pct</t>
  </si>
  <si>
    <t>fossil_share_pct</t>
  </si>
  <si>
    <t>low_carbon_share_pct</t>
  </si>
  <si>
    <t>carbon_intensity_gco2_kwh</t>
  </si>
  <si>
    <t>co2_saved_solar_wind_mt</t>
  </si>
  <si>
    <t>solar_yoy_growth_pct</t>
  </si>
  <si>
    <t>wind_yoy_growth_pct</t>
  </si>
  <si>
    <t>renewables_yoy_growth_pct</t>
  </si>
  <si>
    <t>policy_milestone</t>
  </si>
  <si>
    <t>Algeria</t>
  </si>
  <si>
    <t>Africa</t>
  </si>
  <si>
    <t>Lower-middle</t>
  </si>
  <si>
    <t>27% renewables by 2030 plan</t>
  </si>
  <si>
    <t>Argentina</t>
  </si>
  <si>
    <t>South America</t>
  </si>
  <si>
    <t>Upper-middle</t>
  </si>
  <si>
    <t>Net zero 2050 NDC update</t>
  </si>
  <si>
    <t>Australia</t>
  </si>
  <si>
    <t>Oceania</t>
  </si>
  <si>
    <t>High</t>
  </si>
  <si>
    <t>82% renewables by 2030 target</t>
  </si>
  <si>
    <t>Austria</t>
  </si>
  <si>
    <t>Europe</t>
  </si>
  <si>
    <t>100% renewable electricity by 2030 goal</t>
  </si>
  <si>
    <t>Bangladesh</t>
  </si>
  <si>
    <t>Asia</t>
  </si>
  <si>
    <t>Mujib Climate Prosperity Plan</t>
  </si>
  <si>
    <t>Belgium</t>
  </si>
  <si>
    <t>Nuclear phase-out + offshore wind scale-up</t>
  </si>
  <si>
    <t>Brazil</t>
  </si>
  <si>
    <t>45% renewables in energy mix target</t>
  </si>
  <si>
    <t>Canada</t>
  </si>
  <si>
    <t>North America</t>
  </si>
  <si>
    <t>Pan-Canadian Framework on Clean Growth</t>
  </si>
  <si>
    <t>Chile</t>
  </si>
  <si>
    <t>Net zero 2050 + coal phase-out by 2040</t>
  </si>
  <si>
    <t>China</t>
  </si>
  <si>
    <t>Renewable Energy Law enforcement</t>
  </si>
  <si>
    <t>Paris Agreement commitment</t>
  </si>
  <si>
    <t>Carbon neutrality 2060 pledge</t>
  </si>
  <si>
    <t>14th Five-Year Plan clean energy targets</t>
  </si>
  <si>
    <t>Colombia</t>
  </si>
  <si>
    <t>Carbon neutrality 2050 law</t>
  </si>
  <si>
    <t>Czechia</t>
  </si>
  <si>
    <t>National Energy and Climate Plan</t>
  </si>
  <si>
    <t>Egypt</t>
  </si>
  <si>
    <t>42% renewables by 2035 target</t>
  </si>
  <si>
    <t>Finland</t>
  </si>
  <si>
    <t>Carbon neutrality 2035 target</t>
  </si>
  <si>
    <t>France</t>
  </si>
  <si>
    <t>Energy Transition for Green Growth Act</t>
  </si>
  <si>
    <t>Nuclear + renewables acceleration law</t>
  </si>
  <si>
    <t>Germany</t>
  </si>
  <si>
    <t>Renewable Energy Sources Act (EEG)</t>
  </si>
  <si>
    <t>Energiewende policy launched</t>
  </si>
  <si>
    <t>Coal phase-out accelerated to 2030</t>
  </si>
  <si>
    <t>India</t>
  </si>
  <si>
    <t>175 GW renewables target by 2022</t>
  </si>
  <si>
    <t>500 GW non-fossil target by 2030</t>
  </si>
  <si>
    <t>Indonesia</t>
  </si>
  <si>
    <t>Net zero by 2060 target</t>
  </si>
  <si>
    <t>Iran</t>
  </si>
  <si>
    <t>Middle East</t>
  </si>
  <si>
    <t>Paris Agreement â€” renewables expansion</t>
  </si>
  <si>
    <t>Iraq</t>
  </si>
  <si>
    <t>Net zero 2050 pledge</t>
  </si>
  <si>
    <t>Israel</t>
  </si>
  <si>
    <t>30% renewables by 2030 target</t>
  </si>
  <si>
    <t>Italy</t>
  </si>
  <si>
    <t>Japan</t>
  </si>
  <si>
    <t>Carbon neutrality 2050 pledge</t>
  </si>
  <si>
    <t>Green Transformation (GX) plan</t>
  </si>
  <si>
    <t>Kazakhstan</t>
  </si>
  <si>
    <t>Kuwait</t>
  </si>
  <si>
    <t>15% renewables by 2030</t>
  </si>
  <si>
    <t>Malaysia</t>
  </si>
  <si>
    <t>Carbon neutrality 2050 aspiration</t>
  </si>
  <si>
    <t>Mexico</t>
  </si>
  <si>
    <t>Clean Energy Law â€” 35% clean by 2024</t>
  </si>
  <si>
    <t>Netherlands</t>
  </si>
  <si>
    <t>Climate Agreement â€” 49% CO2 cut by 2030</t>
  </si>
  <si>
    <t>Norway</t>
  </si>
  <si>
    <t>98% hydropower â€” fossil-free grid milestone</t>
  </si>
  <si>
    <t>Pakistan</t>
  </si>
  <si>
    <t>60% renewables by 2030 target</t>
  </si>
  <si>
    <t>Peru</t>
  </si>
  <si>
    <t>20% renewables by 2030 target</t>
  </si>
  <si>
    <t>Philippines</t>
  </si>
  <si>
    <t>Net zero 2050 ambition set</t>
  </si>
  <si>
    <t>Poland</t>
  </si>
  <si>
    <t>National Energy and Climate Plan update</t>
  </si>
  <si>
    <t>Romania</t>
  </si>
  <si>
    <t>Russia</t>
  </si>
  <si>
    <t>Europe/Asia</t>
  </si>
  <si>
    <t>Saudi Arabia</t>
  </si>
  <si>
    <t>Net zero 2060 + 50% renewables by 2030</t>
  </si>
  <si>
    <t>Singapore</t>
  </si>
  <si>
    <t>Singapore Green Plan 2030</t>
  </si>
  <si>
    <t>South Korea</t>
  </si>
  <si>
    <t>Green New Deal + 2050 net zero</t>
  </si>
  <si>
    <t>Spain</t>
  </si>
  <si>
    <t>Climate Change and Energy Transition Law</t>
  </si>
  <si>
    <t>Sweden</t>
  </si>
  <si>
    <t>100% renewable electricity target by 2040</t>
  </si>
  <si>
    <t>Switzerland</t>
  </si>
  <si>
    <t>Energy Strategy 2050 implementation</t>
  </si>
  <si>
    <t>Taiwan</t>
  </si>
  <si>
    <t>20% renewables by 2025 target</t>
  </si>
  <si>
    <t>Thailand</t>
  </si>
  <si>
    <t>30% renewables by 2030 (AEDP)</t>
  </si>
  <si>
    <t>Turkey</t>
  </si>
  <si>
    <t>Net zero 2053 pledge</t>
  </si>
  <si>
    <t>United Arab Emirates</t>
  </si>
  <si>
    <t>United Kingdom</t>
  </si>
  <si>
    <t>Net Zero 2050 law</t>
  </si>
  <si>
    <t>British Energy Security Strategy</t>
  </si>
  <si>
    <t>United States</t>
  </si>
  <si>
    <t>ARRA clean energy stimulus ($90B)</t>
  </si>
  <si>
    <t>Clean Power Plan</t>
  </si>
  <si>
    <t>Uzbekistan</t>
  </si>
  <si>
    <t>25% renewables by 2030</t>
  </si>
  <si>
    <t>Venezuela</t>
  </si>
  <si>
    <t>Renewable energy diversification plan</t>
  </si>
  <si>
    <t>Vietnam</t>
  </si>
  <si>
    <t>Net zero 2050 pledge at COP26</t>
  </si>
  <si>
    <t>lation Reduction Act ($369B clean energy)</t>
  </si>
  <si>
    <t>Column</t>
  </si>
  <si>
    <t>Null_Count</t>
  </si>
  <si>
    <t>Note</t>
  </si>
  <si>
    <t>All 2025 rows — GDP data not yet published</t>
  </si>
  <si>
    <t>Pre-solar era (before 2015) plus inf values replaced in cleaning</t>
  </si>
  <si>
    <t>Pre-wind era plus inf values replaced in cleaning</t>
  </si>
  <si>
    <t>Only recent years available — sparse by design</t>
  </si>
  <si>
    <t>Missing for some countries — left as NULL for SQL</t>
  </si>
  <si>
    <t>Sparse event column — only 59 real policy entries in dataset</t>
  </si>
  <si>
    <t>country + year combination</t>
  </si>
  <si>
    <t>No duplicate rows — each country has exactly one row per year</t>
  </si>
  <si>
    <t>renewables_2024</t>
  </si>
  <si>
    <t>renewables_2000</t>
  </si>
  <si>
    <t>change</t>
  </si>
  <si>
    <t>carbon_intensity_2024</t>
  </si>
  <si>
    <t>transition_score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</si>
</sst>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2DD9-6AF1-4232-85FF-EEF8732DA079}">
  <dimension ref="A1:C8"/>
  <sheetViews>
    <sheetView workbookViewId="0">
      <selection activeCell="C8" sqref="C8"/>
    </sheetView>
  </sheetViews>
  <sheetFormatPr defaultRowHeight="15" x14ac:dyDescent="0.25"/>
  <cols>
    <col min="1" max="1" width="34.28515625" customWidth="1"/>
    <col min="2" max="2" width="18" customWidth="1"/>
    <col min="3" max="3" width="62.28515625" customWidth="1"/>
  </cols>
  <sheetData>
    <row r="1" spans="1:3" x14ac:dyDescent="0.25">
      <c r="A1" t="s">
        <v>142</v>
      </c>
      <c r="B1" t="s">
        <v>143</v>
      </c>
      <c r="C1" t="s">
        <v>144</v>
      </c>
    </row>
    <row r="2" spans="1:3" x14ac:dyDescent="0.25">
      <c r="A2" t="s">
        <v>5</v>
      </c>
      <c r="B2">
        <f>COUNTBLANK(global_renewable_energy_transit!F2:F1295)</f>
        <v>144</v>
      </c>
      <c r="C2" t="s">
        <v>145</v>
      </c>
    </row>
    <row r="3" spans="1:3" x14ac:dyDescent="0.25">
      <c r="A3" t="s">
        <v>21</v>
      </c>
      <c r="B3">
        <f>COUNTBLANK(global_renewable_energy_transit!W2:W1295)</f>
        <v>358</v>
      </c>
      <c r="C3" t="s">
        <v>146</v>
      </c>
    </row>
    <row r="4" spans="1:3" x14ac:dyDescent="0.25">
      <c r="A4" t="s">
        <v>22</v>
      </c>
      <c r="B4">
        <f>COUNTBLANK(global_renewable_energy_transit!X2:X1295)</f>
        <v>83</v>
      </c>
      <c r="C4" t="s">
        <v>147</v>
      </c>
    </row>
    <row r="5" spans="1:3" x14ac:dyDescent="0.25">
      <c r="A5" t="s">
        <v>23</v>
      </c>
      <c r="B5">
        <f>COUNTBLANK(global_renewable_energy_transit!Y2:Y1295)</f>
        <v>1235</v>
      </c>
      <c r="C5" t="s">
        <v>148</v>
      </c>
    </row>
    <row r="6" spans="1:3" x14ac:dyDescent="0.25">
      <c r="A6" t="s">
        <v>11</v>
      </c>
      <c r="B6">
        <f>COUNTBLANK(global_renewable_energy_transit!L2:L1295)</f>
        <v>76</v>
      </c>
      <c r="C6" t="s">
        <v>149</v>
      </c>
    </row>
    <row r="7" spans="1:3" x14ac:dyDescent="0.25">
      <c r="A7" t="s">
        <v>24</v>
      </c>
      <c r="B7">
        <f>COUNTBLANK(global_renewable_energy_transit!Z2:Z1295)</f>
        <v>1294</v>
      </c>
      <c r="C7" t="s">
        <v>150</v>
      </c>
    </row>
    <row r="8" spans="1:3" x14ac:dyDescent="0.25">
      <c r="A8" t="s">
        <v>151</v>
      </c>
      <c r="B8">
        <v>0</v>
      </c>
      <c r="C8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42D9-66CB-46D4-BE32-BE8CB350C1FB}">
  <dimension ref="A1:Y1295"/>
  <sheetViews>
    <sheetView workbookViewId="0">
      <selection activeCell="A2" sqref="A2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2000</v>
      </c>
      <c r="E2">
        <v>30903894</v>
      </c>
      <c r="F2">
        <v>208554150552</v>
      </c>
      <c r="G2">
        <v>25.4</v>
      </c>
      <c r="H2">
        <v>25.33</v>
      </c>
      <c r="I2">
        <v>0</v>
      </c>
      <c r="J2">
        <v>0</v>
      </c>
      <c r="K2">
        <v>0.05</v>
      </c>
      <c r="L2">
        <v>0.05</v>
      </c>
      <c r="M2">
        <v>0</v>
      </c>
      <c r="N2">
        <v>25.35</v>
      </c>
      <c r="O2">
        <v>0</v>
      </c>
      <c r="P2">
        <v>0</v>
      </c>
      <c r="Q2">
        <v>0.19700000000000001</v>
      </c>
      <c r="R2">
        <v>99.802999999999997</v>
      </c>
      <c r="S2">
        <v>0.19700000000000001</v>
      </c>
      <c r="T2">
        <v>638.58000000000004</v>
      </c>
      <c r="U2">
        <v>0</v>
      </c>
    </row>
    <row r="3" spans="1:25" x14ac:dyDescent="0.25">
      <c r="A3" t="s">
        <v>25</v>
      </c>
      <c r="B3" t="s">
        <v>26</v>
      </c>
      <c r="C3" t="s">
        <v>27</v>
      </c>
      <c r="D3">
        <v>2001</v>
      </c>
      <c r="E3">
        <v>31331226</v>
      </c>
      <c r="F3">
        <v>223420294027</v>
      </c>
      <c r="G3">
        <v>26.62</v>
      </c>
      <c r="H3">
        <v>26.57</v>
      </c>
      <c r="I3">
        <v>0</v>
      </c>
      <c r="J3">
        <v>0</v>
      </c>
      <c r="K3">
        <v>7.0000000000000007E-2</v>
      </c>
      <c r="L3">
        <v>7.0000000000000007E-2</v>
      </c>
      <c r="M3">
        <v>0</v>
      </c>
      <c r="N3">
        <v>26.55</v>
      </c>
      <c r="O3">
        <v>0</v>
      </c>
      <c r="P3">
        <v>0</v>
      </c>
      <c r="Q3">
        <v>0.26300000000000001</v>
      </c>
      <c r="R3">
        <v>99.736999999999995</v>
      </c>
      <c r="S3">
        <v>0.26300000000000001</v>
      </c>
      <c r="T3">
        <v>638.24</v>
      </c>
      <c r="U3">
        <v>0</v>
      </c>
      <c r="X3">
        <v>40</v>
      </c>
    </row>
    <row r="4" spans="1:25" x14ac:dyDescent="0.25">
      <c r="A4" t="s">
        <v>25</v>
      </c>
      <c r="B4" t="s">
        <v>26</v>
      </c>
      <c r="C4" t="s">
        <v>27</v>
      </c>
      <c r="D4">
        <v>2002</v>
      </c>
      <c r="E4">
        <v>31750832</v>
      </c>
      <c r="F4">
        <v>245360923720</v>
      </c>
      <c r="G4">
        <v>27.65</v>
      </c>
      <c r="H4">
        <v>27.63</v>
      </c>
      <c r="I4">
        <v>0</v>
      </c>
      <c r="J4">
        <v>0</v>
      </c>
      <c r="K4">
        <v>0.06</v>
      </c>
      <c r="L4">
        <v>0.06</v>
      </c>
      <c r="M4">
        <v>0</v>
      </c>
      <c r="N4">
        <v>27.59</v>
      </c>
      <c r="O4">
        <v>0</v>
      </c>
      <c r="P4">
        <v>0</v>
      </c>
      <c r="Q4">
        <v>0.217</v>
      </c>
      <c r="R4">
        <v>99.783000000000001</v>
      </c>
      <c r="S4">
        <v>0.217</v>
      </c>
      <c r="T4">
        <v>637.98</v>
      </c>
      <c r="U4">
        <v>0</v>
      </c>
      <c r="X4">
        <v>-14.3</v>
      </c>
    </row>
    <row r="5" spans="1:25" x14ac:dyDescent="0.25">
      <c r="A5" t="s">
        <v>25</v>
      </c>
      <c r="B5" t="s">
        <v>26</v>
      </c>
      <c r="C5" t="s">
        <v>27</v>
      </c>
      <c r="D5">
        <v>2003</v>
      </c>
      <c r="E5">
        <v>32175813</v>
      </c>
      <c r="F5">
        <v>273568638765</v>
      </c>
      <c r="G5">
        <v>29.57</v>
      </c>
      <c r="H5">
        <v>29.58</v>
      </c>
      <c r="I5">
        <v>0</v>
      </c>
      <c r="J5">
        <v>0</v>
      </c>
      <c r="K5">
        <v>0.26</v>
      </c>
      <c r="L5">
        <v>0.26</v>
      </c>
      <c r="M5">
        <v>0</v>
      </c>
      <c r="N5">
        <v>29.31</v>
      </c>
      <c r="O5">
        <v>0</v>
      </c>
      <c r="P5">
        <v>0</v>
      </c>
      <c r="Q5">
        <v>0.879</v>
      </c>
      <c r="R5">
        <v>99.120999999999995</v>
      </c>
      <c r="S5">
        <v>0.879</v>
      </c>
      <c r="T5">
        <v>634.09</v>
      </c>
      <c r="U5">
        <v>0</v>
      </c>
      <c r="X5">
        <v>333.3</v>
      </c>
    </row>
    <row r="6" spans="1:25" x14ac:dyDescent="0.25">
      <c r="A6" t="s">
        <v>25</v>
      </c>
      <c r="B6" t="s">
        <v>26</v>
      </c>
      <c r="C6" t="s">
        <v>27</v>
      </c>
      <c r="D6">
        <v>2004</v>
      </c>
      <c r="E6">
        <v>32628286</v>
      </c>
      <c r="F6">
        <v>296773569597</v>
      </c>
      <c r="G6">
        <v>31.25</v>
      </c>
      <c r="H6">
        <v>31.26</v>
      </c>
      <c r="I6">
        <v>0</v>
      </c>
      <c r="J6">
        <v>0</v>
      </c>
      <c r="K6">
        <v>0.25</v>
      </c>
      <c r="L6">
        <v>0.25</v>
      </c>
      <c r="M6">
        <v>0</v>
      </c>
      <c r="N6">
        <v>31</v>
      </c>
      <c r="O6">
        <v>0</v>
      </c>
      <c r="P6">
        <v>0</v>
      </c>
      <c r="Q6">
        <v>0.8</v>
      </c>
      <c r="R6">
        <v>99.2</v>
      </c>
      <c r="S6">
        <v>0.8</v>
      </c>
      <c r="T6">
        <v>634.55999999999995</v>
      </c>
      <c r="U6">
        <v>0</v>
      </c>
      <c r="X6">
        <v>-3.8</v>
      </c>
    </row>
    <row r="7" spans="1:25" x14ac:dyDescent="0.25">
      <c r="A7" t="s">
        <v>25</v>
      </c>
      <c r="B7" t="s">
        <v>26</v>
      </c>
      <c r="C7" t="s">
        <v>27</v>
      </c>
      <c r="D7">
        <v>2005</v>
      </c>
      <c r="E7">
        <v>33109258</v>
      </c>
      <c r="F7">
        <v>326854481030</v>
      </c>
      <c r="G7">
        <v>33.909999999999997</v>
      </c>
      <c r="H7">
        <v>33.99</v>
      </c>
      <c r="I7">
        <v>0</v>
      </c>
      <c r="J7">
        <v>0</v>
      </c>
      <c r="K7">
        <v>0.55000000000000004</v>
      </c>
      <c r="L7">
        <v>0.55000000000000004</v>
      </c>
      <c r="M7">
        <v>0</v>
      </c>
      <c r="N7">
        <v>33.36</v>
      </c>
      <c r="O7">
        <v>0</v>
      </c>
      <c r="P7">
        <v>0</v>
      </c>
      <c r="Q7">
        <v>1.6220000000000001</v>
      </c>
      <c r="R7">
        <v>98.378</v>
      </c>
      <c r="S7">
        <v>1.6220000000000001</v>
      </c>
      <c r="T7">
        <v>629.30999999999995</v>
      </c>
      <c r="U7">
        <v>0</v>
      </c>
      <c r="X7">
        <v>120</v>
      </c>
    </row>
    <row r="8" spans="1:25" x14ac:dyDescent="0.25">
      <c r="A8" t="s">
        <v>25</v>
      </c>
      <c r="B8" t="s">
        <v>26</v>
      </c>
      <c r="C8" t="s">
        <v>27</v>
      </c>
      <c r="D8">
        <v>2006</v>
      </c>
      <c r="E8">
        <v>33623505</v>
      </c>
      <c r="F8">
        <v>345705309468</v>
      </c>
      <c r="G8">
        <v>35.229999999999997</v>
      </c>
      <c r="H8">
        <v>35.31</v>
      </c>
      <c r="I8">
        <v>0</v>
      </c>
      <c r="J8">
        <v>0</v>
      </c>
      <c r="K8">
        <v>0.22</v>
      </c>
      <c r="L8">
        <v>0.22</v>
      </c>
      <c r="M8">
        <v>0</v>
      </c>
      <c r="N8">
        <v>35.01</v>
      </c>
      <c r="O8">
        <v>0</v>
      </c>
      <c r="P8">
        <v>0</v>
      </c>
      <c r="Q8">
        <v>0.624</v>
      </c>
      <c r="R8">
        <v>99.376000000000005</v>
      </c>
      <c r="S8">
        <v>0.624</v>
      </c>
      <c r="T8">
        <v>635.82000000000005</v>
      </c>
      <c r="U8">
        <v>0</v>
      </c>
      <c r="X8">
        <v>-60</v>
      </c>
    </row>
    <row r="9" spans="1:25" x14ac:dyDescent="0.25">
      <c r="A9" t="s">
        <v>25</v>
      </c>
      <c r="B9" t="s">
        <v>26</v>
      </c>
      <c r="C9" t="s">
        <v>27</v>
      </c>
      <c r="D9">
        <v>2007</v>
      </c>
      <c r="E9">
        <v>34189420</v>
      </c>
      <c r="F9">
        <v>371665260161</v>
      </c>
      <c r="G9">
        <v>37.19</v>
      </c>
      <c r="H9">
        <v>37.200000000000003</v>
      </c>
      <c r="I9">
        <v>0</v>
      </c>
      <c r="J9">
        <v>0</v>
      </c>
      <c r="K9">
        <v>0.22</v>
      </c>
      <c r="L9">
        <v>0.22</v>
      </c>
      <c r="M9">
        <v>0</v>
      </c>
      <c r="N9">
        <v>36.97</v>
      </c>
      <c r="O9">
        <v>0</v>
      </c>
      <c r="P9">
        <v>0</v>
      </c>
      <c r="Q9">
        <v>0.59199999999999997</v>
      </c>
      <c r="R9">
        <v>99.408000000000001</v>
      </c>
      <c r="S9">
        <v>0.59199999999999997</v>
      </c>
      <c r="T9">
        <v>635.91999999999996</v>
      </c>
      <c r="U9">
        <v>0</v>
      </c>
      <c r="X9">
        <v>0</v>
      </c>
    </row>
    <row r="10" spans="1:25" x14ac:dyDescent="0.25">
      <c r="A10" t="s">
        <v>25</v>
      </c>
      <c r="B10" t="s">
        <v>26</v>
      </c>
      <c r="C10" t="s">
        <v>27</v>
      </c>
      <c r="D10">
        <v>2008</v>
      </c>
      <c r="E10">
        <v>34816963</v>
      </c>
      <c r="F10">
        <v>395658515586</v>
      </c>
      <c r="G10">
        <v>40.229999999999997</v>
      </c>
      <c r="H10">
        <v>40.18</v>
      </c>
      <c r="I10">
        <v>0</v>
      </c>
      <c r="J10">
        <v>0</v>
      </c>
      <c r="K10">
        <v>0.28000000000000003</v>
      </c>
      <c r="L10">
        <v>0.28000000000000003</v>
      </c>
      <c r="M10">
        <v>0</v>
      </c>
      <c r="N10">
        <v>39.950000000000003</v>
      </c>
      <c r="O10">
        <v>0</v>
      </c>
      <c r="P10">
        <v>0</v>
      </c>
      <c r="Q10">
        <v>0.69599999999999995</v>
      </c>
      <c r="R10">
        <v>99.304000000000002</v>
      </c>
      <c r="S10">
        <v>0.69599999999999995</v>
      </c>
      <c r="T10">
        <v>635.35</v>
      </c>
      <c r="U10">
        <v>0</v>
      </c>
      <c r="X10">
        <v>27.3</v>
      </c>
    </row>
    <row r="11" spans="1:25" x14ac:dyDescent="0.25">
      <c r="A11" t="s">
        <v>25</v>
      </c>
      <c r="B11" t="s">
        <v>26</v>
      </c>
      <c r="C11" t="s">
        <v>27</v>
      </c>
      <c r="D11">
        <v>2009</v>
      </c>
      <c r="E11">
        <v>35490442</v>
      </c>
      <c r="F11">
        <v>418247711085</v>
      </c>
      <c r="G11">
        <v>38.5</v>
      </c>
      <c r="H11">
        <v>38.47</v>
      </c>
      <c r="I11">
        <v>0</v>
      </c>
      <c r="J11">
        <v>0</v>
      </c>
      <c r="K11">
        <v>0.3</v>
      </c>
      <c r="L11">
        <v>0.3</v>
      </c>
      <c r="M11">
        <v>0</v>
      </c>
      <c r="N11">
        <v>38.200000000000003</v>
      </c>
      <c r="O11">
        <v>0</v>
      </c>
      <c r="P11">
        <v>0</v>
      </c>
      <c r="Q11">
        <v>0.77900000000000003</v>
      </c>
      <c r="R11">
        <v>99.221000000000004</v>
      </c>
      <c r="S11">
        <v>0.77900000000000003</v>
      </c>
      <c r="T11">
        <v>634.54999999999995</v>
      </c>
      <c r="U11">
        <v>0</v>
      </c>
      <c r="X11">
        <v>7.1</v>
      </c>
    </row>
    <row r="12" spans="1:25" x14ac:dyDescent="0.25">
      <c r="A12" t="s">
        <v>25</v>
      </c>
      <c r="B12" t="s">
        <v>26</v>
      </c>
      <c r="C12" t="s">
        <v>27</v>
      </c>
      <c r="D12">
        <v>2010</v>
      </c>
      <c r="E12">
        <v>36188237</v>
      </c>
      <c r="F12">
        <v>450705801593</v>
      </c>
      <c r="G12">
        <v>45.73</v>
      </c>
      <c r="H12">
        <v>45.66</v>
      </c>
      <c r="I12">
        <v>0</v>
      </c>
      <c r="J12">
        <v>0</v>
      </c>
      <c r="K12">
        <v>0.17</v>
      </c>
      <c r="L12">
        <v>0.17</v>
      </c>
      <c r="M12">
        <v>0</v>
      </c>
      <c r="N12">
        <v>45.56</v>
      </c>
      <c r="O12">
        <v>0</v>
      </c>
      <c r="P12">
        <v>0</v>
      </c>
      <c r="Q12">
        <v>0.372</v>
      </c>
      <c r="R12">
        <v>99.628</v>
      </c>
      <c r="S12">
        <v>0.372</v>
      </c>
      <c r="T12">
        <v>637</v>
      </c>
      <c r="U12">
        <v>0</v>
      </c>
      <c r="X12">
        <v>-43.3</v>
      </c>
    </row>
    <row r="13" spans="1:25" x14ac:dyDescent="0.25">
      <c r="A13" t="s">
        <v>25</v>
      </c>
      <c r="B13" t="s">
        <v>26</v>
      </c>
      <c r="C13" t="s">
        <v>27</v>
      </c>
      <c r="D13">
        <v>2011</v>
      </c>
      <c r="E13">
        <v>36903374</v>
      </c>
      <c r="F13">
        <v>482028679734</v>
      </c>
      <c r="G13">
        <v>51.22</v>
      </c>
      <c r="H13">
        <v>51.08</v>
      </c>
      <c r="I13">
        <v>0</v>
      </c>
      <c r="J13">
        <v>0</v>
      </c>
      <c r="K13">
        <v>0.5</v>
      </c>
      <c r="L13">
        <v>0.5</v>
      </c>
      <c r="M13">
        <v>0</v>
      </c>
      <c r="N13">
        <v>50.72</v>
      </c>
      <c r="O13">
        <v>0</v>
      </c>
      <c r="P13">
        <v>0</v>
      </c>
      <c r="Q13">
        <v>0.97599999999999998</v>
      </c>
      <c r="R13">
        <v>99.024000000000001</v>
      </c>
      <c r="S13">
        <v>0.97599999999999998</v>
      </c>
      <c r="T13">
        <v>633.35</v>
      </c>
      <c r="U13">
        <v>0</v>
      </c>
      <c r="X13">
        <v>194.1</v>
      </c>
    </row>
    <row r="14" spans="1:25" x14ac:dyDescent="0.25">
      <c r="A14" t="s">
        <v>25</v>
      </c>
      <c r="B14" t="s">
        <v>26</v>
      </c>
      <c r="C14" t="s">
        <v>27</v>
      </c>
      <c r="D14">
        <v>2012</v>
      </c>
      <c r="E14">
        <v>37646165</v>
      </c>
      <c r="F14">
        <v>498417638719</v>
      </c>
      <c r="G14">
        <v>57.4</v>
      </c>
      <c r="H14">
        <v>57.35</v>
      </c>
      <c r="I14">
        <v>0</v>
      </c>
      <c r="J14">
        <v>0</v>
      </c>
      <c r="K14">
        <v>0.62</v>
      </c>
      <c r="L14">
        <v>0.62</v>
      </c>
      <c r="M14">
        <v>0</v>
      </c>
      <c r="N14">
        <v>56.78</v>
      </c>
      <c r="O14">
        <v>0</v>
      </c>
      <c r="P14">
        <v>0</v>
      </c>
      <c r="Q14">
        <v>1.08</v>
      </c>
      <c r="R14">
        <v>98.92</v>
      </c>
      <c r="S14">
        <v>1.08</v>
      </c>
      <c r="T14">
        <v>632.75</v>
      </c>
      <c r="U14">
        <v>0</v>
      </c>
      <c r="X14">
        <v>24</v>
      </c>
    </row>
    <row r="15" spans="1:25" x14ac:dyDescent="0.25">
      <c r="A15" t="s">
        <v>25</v>
      </c>
      <c r="B15" t="s">
        <v>26</v>
      </c>
      <c r="C15" t="s">
        <v>27</v>
      </c>
      <c r="D15">
        <v>2013</v>
      </c>
      <c r="E15">
        <v>38414176</v>
      </c>
      <c r="F15">
        <v>512373332647</v>
      </c>
      <c r="G15">
        <v>59.89</v>
      </c>
      <c r="H15">
        <v>59.8</v>
      </c>
      <c r="I15">
        <v>0</v>
      </c>
      <c r="J15">
        <v>0</v>
      </c>
      <c r="K15">
        <v>0.33</v>
      </c>
      <c r="L15">
        <v>0.33</v>
      </c>
      <c r="M15">
        <v>0</v>
      </c>
      <c r="N15">
        <v>59.56</v>
      </c>
      <c r="O15">
        <v>0</v>
      </c>
      <c r="P15">
        <v>0</v>
      </c>
      <c r="Q15">
        <v>0.55100000000000005</v>
      </c>
      <c r="R15">
        <v>99.448999999999998</v>
      </c>
      <c r="S15">
        <v>0.55100000000000005</v>
      </c>
      <c r="T15">
        <v>636</v>
      </c>
      <c r="U15">
        <v>0</v>
      </c>
      <c r="X15">
        <v>-46.8</v>
      </c>
    </row>
    <row r="16" spans="1:25" x14ac:dyDescent="0.25">
      <c r="A16" t="s">
        <v>25</v>
      </c>
      <c r="B16" t="s">
        <v>26</v>
      </c>
      <c r="C16" t="s">
        <v>27</v>
      </c>
      <c r="D16">
        <v>2014</v>
      </c>
      <c r="E16">
        <v>39205035</v>
      </c>
      <c r="F16">
        <v>531843509827</v>
      </c>
      <c r="G16">
        <v>64.27</v>
      </c>
      <c r="H16">
        <v>64.08</v>
      </c>
      <c r="I16">
        <v>0</v>
      </c>
      <c r="J16">
        <v>0</v>
      </c>
      <c r="K16">
        <v>0.25</v>
      </c>
      <c r="L16">
        <v>0.25</v>
      </c>
      <c r="M16">
        <v>0</v>
      </c>
      <c r="N16">
        <v>64.02</v>
      </c>
      <c r="O16">
        <v>0</v>
      </c>
      <c r="P16">
        <v>0</v>
      </c>
      <c r="Q16">
        <v>0.38900000000000001</v>
      </c>
      <c r="R16">
        <v>99.611000000000004</v>
      </c>
      <c r="S16">
        <v>0.38900000000000001</v>
      </c>
      <c r="T16">
        <v>637</v>
      </c>
      <c r="U16">
        <v>0</v>
      </c>
      <c r="X16">
        <v>-24.2</v>
      </c>
    </row>
    <row r="17" spans="1:25" x14ac:dyDescent="0.25">
      <c r="A17" t="s">
        <v>25</v>
      </c>
      <c r="B17" t="s">
        <v>26</v>
      </c>
      <c r="C17" t="s">
        <v>27</v>
      </c>
      <c r="D17">
        <v>2015</v>
      </c>
      <c r="E17">
        <v>40019528</v>
      </c>
      <c r="F17">
        <v>551521739825</v>
      </c>
      <c r="G17">
        <v>68.84</v>
      </c>
      <c r="H17">
        <v>68.81</v>
      </c>
      <c r="I17">
        <v>0.06</v>
      </c>
      <c r="J17">
        <v>0.02</v>
      </c>
      <c r="K17">
        <v>0.22</v>
      </c>
      <c r="L17">
        <v>0.14000000000000001</v>
      </c>
      <c r="M17">
        <v>0</v>
      </c>
      <c r="N17">
        <v>68.62</v>
      </c>
      <c r="O17">
        <v>8.6999999999999994E-2</v>
      </c>
      <c r="P17">
        <v>2.9000000000000001E-2</v>
      </c>
      <c r="Q17">
        <v>0.32</v>
      </c>
      <c r="R17">
        <v>99.68</v>
      </c>
      <c r="S17">
        <v>0.32</v>
      </c>
      <c r="T17">
        <v>637.41999999999996</v>
      </c>
      <c r="U17">
        <v>0.04</v>
      </c>
      <c r="X17">
        <v>-12</v>
      </c>
    </row>
    <row r="18" spans="1:25" x14ac:dyDescent="0.25">
      <c r="A18" t="s">
        <v>25</v>
      </c>
      <c r="B18" t="s">
        <v>26</v>
      </c>
      <c r="C18" t="s">
        <v>27</v>
      </c>
      <c r="D18">
        <v>2016</v>
      </c>
      <c r="E18">
        <v>40850719</v>
      </c>
      <c r="F18">
        <v>569170418715</v>
      </c>
      <c r="G18">
        <v>71.040000000000006</v>
      </c>
      <c r="H18">
        <v>70.790000000000006</v>
      </c>
      <c r="I18">
        <v>0.09</v>
      </c>
      <c r="J18">
        <v>0.03</v>
      </c>
      <c r="K18">
        <v>0.34</v>
      </c>
      <c r="L18">
        <v>0.22</v>
      </c>
      <c r="M18">
        <v>0</v>
      </c>
      <c r="N18">
        <v>70.7</v>
      </c>
      <c r="O18">
        <v>0.127</v>
      </c>
      <c r="P18">
        <v>4.2000000000000003E-2</v>
      </c>
      <c r="Q18">
        <v>0.47899999999999998</v>
      </c>
      <c r="R18">
        <v>99.521000000000001</v>
      </c>
      <c r="S18">
        <v>0.47899999999999998</v>
      </c>
      <c r="T18">
        <v>636.4</v>
      </c>
      <c r="U18">
        <v>0.05</v>
      </c>
      <c r="V18">
        <v>50</v>
      </c>
      <c r="W18">
        <v>50</v>
      </c>
      <c r="X18">
        <v>54.5</v>
      </c>
    </row>
    <row r="19" spans="1:25" x14ac:dyDescent="0.25">
      <c r="A19" t="s">
        <v>25</v>
      </c>
      <c r="B19" t="s">
        <v>26</v>
      </c>
      <c r="C19" t="s">
        <v>27</v>
      </c>
      <c r="D19">
        <v>2017</v>
      </c>
      <c r="E19">
        <v>41689302</v>
      </c>
      <c r="F19">
        <v>577138830559</v>
      </c>
      <c r="G19">
        <v>76.069999999999993</v>
      </c>
      <c r="H19">
        <v>75.73</v>
      </c>
      <c r="I19">
        <v>0.56999999999999995</v>
      </c>
      <c r="J19">
        <v>0.01</v>
      </c>
      <c r="K19">
        <v>0.64</v>
      </c>
      <c r="L19">
        <v>0.06</v>
      </c>
      <c r="M19">
        <v>0</v>
      </c>
      <c r="N19">
        <v>75.430000000000007</v>
      </c>
      <c r="O19">
        <v>0.749</v>
      </c>
      <c r="P19">
        <v>1.2999999999999999E-2</v>
      </c>
      <c r="Q19">
        <v>0.84099999999999997</v>
      </c>
      <c r="R19">
        <v>99.159000000000006</v>
      </c>
      <c r="S19">
        <v>0.84099999999999997</v>
      </c>
      <c r="T19">
        <v>634.15</v>
      </c>
      <c r="U19">
        <v>0.26</v>
      </c>
      <c r="V19">
        <v>533.29999999999995</v>
      </c>
      <c r="W19">
        <v>-66.7</v>
      </c>
      <c r="X19">
        <v>88.2</v>
      </c>
    </row>
    <row r="20" spans="1:25" x14ac:dyDescent="0.25">
      <c r="A20" t="s">
        <v>25</v>
      </c>
      <c r="B20" t="s">
        <v>26</v>
      </c>
      <c r="C20" t="s">
        <v>27</v>
      </c>
      <c r="D20">
        <v>2018</v>
      </c>
      <c r="E20">
        <v>42505033</v>
      </c>
      <c r="F20">
        <v>584064441740</v>
      </c>
      <c r="G20">
        <v>76.75</v>
      </c>
      <c r="H20">
        <v>76.66</v>
      </c>
      <c r="I20">
        <v>0.69</v>
      </c>
      <c r="J20">
        <v>0.01</v>
      </c>
      <c r="K20">
        <v>0.82</v>
      </c>
      <c r="L20">
        <v>0.12</v>
      </c>
      <c r="M20">
        <v>0</v>
      </c>
      <c r="N20">
        <v>75.930000000000007</v>
      </c>
      <c r="O20">
        <v>0.89900000000000002</v>
      </c>
      <c r="P20">
        <v>1.2999999999999999E-2</v>
      </c>
      <c r="Q20">
        <v>1.0680000000000001</v>
      </c>
      <c r="R20">
        <v>98.932000000000002</v>
      </c>
      <c r="S20">
        <v>1.0680000000000001</v>
      </c>
      <c r="T20">
        <v>632.70000000000005</v>
      </c>
      <c r="U20">
        <v>0.32</v>
      </c>
      <c r="V20">
        <v>21.1</v>
      </c>
      <c r="W20">
        <v>0</v>
      </c>
      <c r="X20">
        <v>28.1</v>
      </c>
    </row>
    <row r="21" spans="1:25" x14ac:dyDescent="0.25">
      <c r="A21" t="s">
        <v>25</v>
      </c>
      <c r="B21" t="s">
        <v>26</v>
      </c>
      <c r="C21" t="s">
        <v>27</v>
      </c>
      <c r="D21">
        <v>2019</v>
      </c>
      <c r="E21">
        <v>43294551</v>
      </c>
      <c r="F21">
        <v>589905104177</v>
      </c>
      <c r="G21">
        <v>81.61</v>
      </c>
      <c r="H21">
        <v>81.47</v>
      </c>
      <c r="I21">
        <v>0.71</v>
      </c>
      <c r="J21">
        <v>0.01</v>
      </c>
      <c r="K21">
        <v>0.87</v>
      </c>
      <c r="L21">
        <v>0.15</v>
      </c>
      <c r="M21">
        <v>0</v>
      </c>
      <c r="N21">
        <v>80.739999999999995</v>
      </c>
      <c r="O21">
        <v>0.87</v>
      </c>
      <c r="P21">
        <v>1.2E-2</v>
      </c>
      <c r="Q21">
        <v>1.0660000000000001</v>
      </c>
      <c r="R21">
        <v>98.933999999999997</v>
      </c>
      <c r="S21">
        <v>1.0660000000000001</v>
      </c>
      <c r="T21">
        <v>632.77</v>
      </c>
      <c r="U21">
        <v>0.32</v>
      </c>
      <c r="V21">
        <v>2.9</v>
      </c>
      <c r="W21">
        <v>0</v>
      </c>
      <c r="X21">
        <v>6.1</v>
      </c>
    </row>
    <row r="22" spans="1:25" x14ac:dyDescent="0.25">
      <c r="A22" t="s">
        <v>25</v>
      </c>
      <c r="B22" t="s">
        <v>26</v>
      </c>
      <c r="C22" t="s">
        <v>27</v>
      </c>
      <c r="D22">
        <v>2020</v>
      </c>
      <c r="E22">
        <v>44042094</v>
      </c>
      <c r="F22">
        <v>559819958223</v>
      </c>
      <c r="G22">
        <v>79.37</v>
      </c>
      <c r="H22">
        <v>79.31</v>
      </c>
      <c r="I22">
        <v>0.82</v>
      </c>
      <c r="J22">
        <v>0.01</v>
      </c>
      <c r="K22">
        <v>0.88</v>
      </c>
      <c r="L22">
        <v>0.05</v>
      </c>
      <c r="M22">
        <v>0</v>
      </c>
      <c r="N22">
        <v>78.489999999999995</v>
      </c>
      <c r="O22">
        <v>1.0329999999999999</v>
      </c>
      <c r="P22">
        <v>1.2999999999999999E-2</v>
      </c>
      <c r="Q22">
        <v>1.109</v>
      </c>
      <c r="R22">
        <v>98.891000000000005</v>
      </c>
      <c r="S22">
        <v>1.109</v>
      </c>
      <c r="T22">
        <v>632.61</v>
      </c>
      <c r="U22">
        <v>0.37</v>
      </c>
      <c r="V22">
        <v>15.5</v>
      </c>
      <c r="W22">
        <v>0</v>
      </c>
      <c r="X22">
        <v>1.1000000000000001</v>
      </c>
      <c r="Y22" t="s">
        <v>28</v>
      </c>
    </row>
    <row r="23" spans="1:25" x14ac:dyDescent="0.25">
      <c r="A23" t="s">
        <v>25</v>
      </c>
      <c r="B23" t="s">
        <v>26</v>
      </c>
      <c r="C23" t="s">
        <v>27</v>
      </c>
      <c r="D23">
        <v>2021</v>
      </c>
      <c r="E23">
        <v>44761099</v>
      </c>
      <c r="F23">
        <v>578853830170</v>
      </c>
      <c r="G23">
        <v>85.6</v>
      </c>
      <c r="H23">
        <v>84.45</v>
      </c>
      <c r="I23">
        <v>0.79</v>
      </c>
      <c r="J23">
        <v>0.01</v>
      </c>
      <c r="K23">
        <v>0.81</v>
      </c>
      <c r="L23">
        <v>0.01</v>
      </c>
      <c r="M23">
        <v>0</v>
      </c>
      <c r="N23">
        <v>84.79</v>
      </c>
      <c r="O23">
        <v>0.92300000000000004</v>
      </c>
      <c r="P23">
        <v>1.2E-2</v>
      </c>
      <c r="Q23">
        <v>0.94599999999999995</v>
      </c>
      <c r="R23">
        <v>99.054000000000002</v>
      </c>
      <c r="S23">
        <v>0.94599999999999995</v>
      </c>
      <c r="T23">
        <v>633.53</v>
      </c>
      <c r="U23">
        <v>0.36</v>
      </c>
      <c r="V23">
        <v>-3.7</v>
      </c>
      <c r="W23">
        <v>0</v>
      </c>
      <c r="X23">
        <v>-8</v>
      </c>
    </row>
    <row r="24" spans="1:25" x14ac:dyDescent="0.25">
      <c r="A24" t="s">
        <v>25</v>
      </c>
      <c r="B24" t="s">
        <v>26</v>
      </c>
      <c r="C24" t="s">
        <v>27</v>
      </c>
      <c r="D24">
        <v>2022</v>
      </c>
      <c r="E24">
        <v>45477391</v>
      </c>
      <c r="F24">
        <v>595820067103</v>
      </c>
      <c r="G24">
        <v>91.47</v>
      </c>
      <c r="H24">
        <v>88.9</v>
      </c>
      <c r="I24">
        <v>0.83</v>
      </c>
      <c r="J24">
        <v>0.01</v>
      </c>
      <c r="K24">
        <v>0.86</v>
      </c>
      <c r="L24">
        <v>0.02</v>
      </c>
      <c r="M24">
        <v>0</v>
      </c>
      <c r="N24">
        <v>90.61</v>
      </c>
      <c r="O24">
        <v>0.90700000000000003</v>
      </c>
      <c r="P24">
        <v>1.0999999999999999E-2</v>
      </c>
      <c r="Q24">
        <v>0.94</v>
      </c>
      <c r="R24">
        <v>99.06</v>
      </c>
      <c r="S24">
        <v>0.94</v>
      </c>
      <c r="T24">
        <v>633.65</v>
      </c>
      <c r="U24">
        <v>0.38</v>
      </c>
      <c r="V24">
        <v>5.0999999999999996</v>
      </c>
      <c r="W24">
        <v>0</v>
      </c>
      <c r="X24">
        <v>6.2</v>
      </c>
    </row>
    <row r="25" spans="1:25" x14ac:dyDescent="0.25">
      <c r="A25" t="s">
        <v>25</v>
      </c>
      <c r="B25" t="s">
        <v>26</v>
      </c>
      <c r="C25" t="s">
        <v>27</v>
      </c>
      <c r="D25">
        <v>2023</v>
      </c>
      <c r="E25">
        <v>46164222</v>
      </c>
      <c r="G25">
        <v>95.88</v>
      </c>
      <c r="H25">
        <v>93.44</v>
      </c>
      <c r="I25">
        <v>0.87</v>
      </c>
      <c r="J25">
        <v>0.02</v>
      </c>
      <c r="K25">
        <v>0.91</v>
      </c>
      <c r="L25">
        <v>0.02</v>
      </c>
      <c r="M25">
        <v>0</v>
      </c>
      <c r="N25">
        <v>94.97</v>
      </c>
      <c r="O25">
        <v>0.90700000000000003</v>
      </c>
      <c r="P25">
        <v>2.1000000000000001E-2</v>
      </c>
      <c r="Q25">
        <v>0.94899999999999995</v>
      </c>
      <c r="R25">
        <v>99.051000000000002</v>
      </c>
      <c r="S25">
        <v>0.94899999999999995</v>
      </c>
      <c r="T25">
        <v>633.61</v>
      </c>
      <c r="U25">
        <v>0.4</v>
      </c>
      <c r="V25">
        <v>4.8</v>
      </c>
      <c r="W25">
        <v>100</v>
      </c>
      <c r="X25">
        <v>5.8</v>
      </c>
    </row>
    <row r="26" spans="1:25" x14ac:dyDescent="0.25">
      <c r="A26" t="s">
        <v>25</v>
      </c>
      <c r="B26" t="s">
        <v>26</v>
      </c>
      <c r="C26" t="s">
        <v>27</v>
      </c>
      <c r="D26">
        <v>2024</v>
      </c>
      <c r="E26">
        <v>46814302</v>
      </c>
      <c r="G26">
        <v>96.36</v>
      </c>
      <c r="H26">
        <v>93.84</v>
      </c>
      <c r="I26">
        <v>0.99</v>
      </c>
      <c r="J26">
        <v>0.02</v>
      </c>
      <c r="K26">
        <v>1.03</v>
      </c>
      <c r="L26">
        <v>0.02</v>
      </c>
      <c r="M26">
        <v>0</v>
      </c>
      <c r="N26">
        <v>95.33</v>
      </c>
      <c r="O26">
        <v>1.0269999999999999</v>
      </c>
      <c r="P26">
        <v>2.1000000000000001E-2</v>
      </c>
      <c r="Q26">
        <v>1.069</v>
      </c>
      <c r="R26">
        <v>98.930999999999997</v>
      </c>
      <c r="S26">
        <v>1.069</v>
      </c>
      <c r="T26">
        <v>632.94000000000005</v>
      </c>
      <c r="U26">
        <v>0.45</v>
      </c>
      <c r="V26">
        <v>13.8</v>
      </c>
      <c r="W26">
        <v>0</v>
      </c>
      <c r="X26">
        <v>13.2</v>
      </c>
    </row>
    <row r="27" spans="1:25" x14ac:dyDescent="0.25">
      <c r="A27" t="s">
        <v>29</v>
      </c>
      <c r="B27" t="s">
        <v>30</v>
      </c>
      <c r="C27" t="s">
        <v>31</v>
      </c>
      <c r="D27">
        <v>2000</v>
      </c>
      <c r="E27">
        <v>37213986</v>
      </c>
      <c r="F27">
        <v>536480965694</v>
      </c>
      <c r="G27">
        <v>88.98</v>
      </c>
      <c r="H27">
        <v>90.2</v>
      </c>
      <c r="I27">
        <v>0</v>
      </c>
      <c r="J27">
        <v>0.03</v>
      </c>
      <c r="K27">
        <v>29</v>
      </c>
      <c r="L27">
        <v>28.58</v>
      </c>
      <c r="M27">
        <v>6.18</v>
      </c>
      <c r="N27">
        <v>53.8</v>
      </c>
      <c r="O27">
        <v>0</v>
      </c>
      <c r="P27">
        <v>3.4000000000000002E-2</v>
      </c>
      <c r="Q27">
        <v>32.591999999999999</v>
      </c>
      <c r="R27">
        <v>60.463000000000001</v>
      </c>
      <c r="S27">
        <v>39.536999999999999</v>
      </c>
      <c r="T27">
        <v>355.47</v>
      </c>
      <c r="U27">
        <v>0.01</v>
      </c>
    </row>
    <row r="28" spans="1:25" x14ac:dyDescent="0.25">
      <c r="A28" t="s">
        <v>29</v>
      </c>
      <c r="B28" t="s">
        <v>30</v>
      </c>
      <c r="C28" t="s">
        <v>31</v>
      </c>
      <c r="D28">
        <v>2001</v>
      </c>
      <c r="E28">
        <v>37624817</v>
      </c>
      <c r="F28">
        <v>514867255248</v>
      </c>
      <c r="G28">
        <v>90.14</v>
      </c>
      <c r="H28">
        <v>91.89</v>
      </c>
      <c r="I28">
        <v>0</v>
      </c>
      <c r="J28">
        <v>0.05</v>
      </c>
      <c r="K28">
        <v>36.99</v>
      </c>
      <c r="L28">
        <v>36.58</v>
      </c>
      <c r="M28">
        <v>7.06</v>
      </c>
      <c r="N28">
        <v>46.09</v>
      </c>
      <c r="O28">
        <v>0</v>
      </c>
      <c r="P28">
        <v>5.5E-2</v>
      </c>
      <c r="Q28">
        <v>41.036000000000001</v>
      </c>
      <c r="R28">
        <v>51.131999999999998</v>
      </c>
      <c r="S28">
        <v>48.868000000000002</v>
      </c>
      <c r="T28">
        <v>302.08999999999997</v>
      </c>
      <c r="U28">
        <v>0.02</v>
      </c>
      <c r="W28">
        <v>66.7</v>
      </c>
      <c r="X28">
        <v>27.6</v>
      </c>
    </row>
    <row r="29" spans="1:25" x14ac:dyDescent="0.25">
      <c r="A29" t="s">
        <v>29</v>
      </c>
      <c r="B29" t="s">
        <v>30</v>
      </c>
      <c r="C29" t="s">
        <v>31</v>
      </c>
      <c r="D29">
        <v>2002</v>
      </c>
      <c r="E29">
        <v>38029345</v>
      </c>
      <c r="F29">
        <v>460558541367</v>
      </c>
      <c r="G29">
        <v>84.59</v>
      </c>
      <c r="H29">
        <v>90.51</v>
      </c>
      <c r="I29">
        <v>0</v>
      </c>
      <c r="J29">
        <v>7.0000000000000007E-2</v>
      </c>
      <c r="K29">
        <v>36.380000000000003</v>
      </c>
      <c r="L29">
        <v>35.78</v>
      </c>
      <c r="M29">
        <v>5.82</v>
      </c>
      <c r="N29">
        <v>42.39</v>
      </c>
      <c r="O29">
        <v>0</v>
      </c>
      <c r="P29">
        <v>8.3000000000000004E-2</v>
      </c>
      <c r="Q29">
        <v>43.006999999999998</v>
      </c>
      <c r="R29">
        <v>50.112000000000002</v>
      </c>
      <c r="S29">
        <v>49.887999999999998</v>
      </c>
      <c r="T29">
        <v>294.83</v>
      </c>
      <c r="U29">
        <v>0.03</v>
      </c>
      <c r="W29">
        <v>40</v>
      </c>
      <c r="X29">
        <v>-1.6</v>
      </c>
    </row>
    <row r="30" spans="1:25" x14ac:dyDescent="0.25">
      <c r="A30" t="s">
        <v>29</v>
      </c>
      <c r="B30" t="s">
        <v>30</v>
      </c>
      <c r="C30" t="s">
        <v>31</v>
      </c>
      <c r="D30">
        <v>2003</v>
      </c>
      <c r="E30">
        <v>38424283</v>
      </c>
      <c r="F30">
        <v>503104157615</v>
      </c>
      <c r="G30">
        <v>92.07</v>
      </c>
      <c r="H30">
        <v>97.1</v>
      </c>
      <c r="I30">
        <v>0</v>
      </c>
      <c r="J30">
        <v>0.08</v>
      </c>
      <c r="K30">
        <v>34.76</v>
      </c>
      <c r="L30">
        <v>33.799999999999997</v>
      </c>
      <c r="M30">
        <v>7.57</v>
      </c>
      <c r="N30">
        <v>49.74</v>
      </c>
      <c r="O30">
        <v>0</v>
      </c>
      <c r="P30">
        <v>8.6999999999999994E-2</v>
      </c>
      <c r="Q30">
        <v>37.753999999999998</v>
      </c>
      <c r="R30">
        <v>54.024000000000001</v>
      </c>
      <c r="S30">
        <v>45.975999999999999</v>
      </c>
      <c r="T30">
        <v>316.39</v>
      </c>
      <c r="U30">
        <v>0.04</v>
      </c>
      <c r="W30">
        <v>14.3</v>
      </c>
      <c r="X30">
        <v>-4.5</v>
      </c>
    </row>
    <row r="31" spans="1:25" x14ac:dyDescent="0.25">
      <c r="A31" t="s">
        <v>29</v>
      </c>
      <c r="B31" t="s">
        <v>30</v>
      </c>
      <c r="C31" t="s">
        <v>31</v>
      </c>
      <c r="D31">
        <v>2004</v>
      </c>
      <c r="E31">
        <v>38815915</v>
      </c>
      <c r="F31">
        <v>550306327169</v>
      </c>
      <c r="G31">
        <v>100.26</v>
      </c>
      <c r="H31">
        <v>103.73</v>
      </c>
      <c r="I31">
        <v>0</v>
      </c>
      <c r="J31">
        <v>7.0000000000000007E-2</v>
      </c>
      <c r="K31">
        <v>31.4</v>
      </c>
      <c r="L31">
        <v>30.46</v>
      </c>
      <c r="M31">
        <v>7.87</v>
      </c>
      <c r="N31">
        <v>60.99</v>
      </c>
      <c r="O31">
        <v>0</v>
      </c>
      <c r="P31">
        <v>7.0000000000000007E-2</v>
      </c>
      <c r="Q31">
        <v>31.318999999999999</v>
      </c>
      <c r="R31">
        <v>60.832000000000001</v>
      </c>
      <c r="S31">
        <v>39.167999999999999</v>
      </c>
      <c r="T31">
        <v>357.67</v>
      </c>
      <c r="U31">
        <v>0.03</v>
      </c>
      <c r="W31">
        <v>-12.5</v>
      </c>
      <c r="X31">
        <v>-9.6999999999999993</v>
      </c>
    </row>
    <row r="32" spans="1:25" x14ac:dyDescent="0.25">
      <c r="A32" t="s">
        <v>29</v>
      </c>
      <c r="B32" t="s">
        <v>30</v>
      </c>
      <c r="C32" t="s">
        <v>31</v>
      </c>
      <c r="D32">
        <v>2005</v>
      </c>
      <c r="E32">
        <v>39216786</v>
      </c>
      <c r="F32">
        <v>601050418142</v>
      </c>
      <c r="G32">
        <v>105.75</v>
      </c>
      <c r="H32">
        <v>109.63</v>
      </c>
      <c r="I32">
        <v>0</v>
      </c>
      <c r="J32">
        <v>7.0000000000000007E-2</v>
      </c>
      <c r="K32">
        <v>35.21</v>
      </c>
      <c r="L32">
        <v>34.22</v>
      </c>
      <c r="M32">
        <v>6.87</v>
      </c>
      <c r="N32">
        <v>63.67</v>
      </c>
      <c r="O32">
        <v>0</v>
      </c>
      <c r="P32">
        <v>6.6000000000000003E-2</v>
      </c>
      <c r="Q32">
        <v>33.295999999999999</v>
      </c>
      <c r="R32">
        <v>60.207999999999998</v>
      </c>
      <c r="S32">
        <v>39.792000000000002</v>
      </c>
      <c r="T32">
        <v>357.16</v>
      </c>
      <c r="U32">
        <v>0.03</v>
      </c>
      <c r="W32">
        <v>0</v>
      </c>
      <c r="X32">
        <v>12.1</v>
      </c>
    </row>
    <row r="33" spans="1:25" x14ac:dyDescent="0.25">
      <c r="A33" t="s">
        <v>29</v>
      </c>
      <c r="B33" t="s">
        <v>30</v>
      </c>
      <c r="C33" t="s">
        <v>31</v>
      </c>
      <c r="D33">
        <v>2006</v>
      </c>
      <c r="E33">
        <v>39622113</v>
      </c>
      <c r="F33">
        <v>652296814311</v>
      </c>
      <c r="G33">
        <v>113.43</v>
      </c>
      <c r="H33">
        <v>115.79</v>
      </c>
      <c r="I33">
        <v>0</v>
      </c>
      <c r="J33">
        <v>7.0000000000000007E-2</v>
      </c>
      <c r="K33">
        <v>39.14</v>
      </c>
      <c r="L33">
        <v>38.020000000000003</v>
      </c>
      <c r="M33">
        <v>7.72</v>
      </c>
      <c r="N33">
        <v>66.569999999999993</v>
      </c>
      <c r="O33">
        <v>0</v>
      </c>
      <c r="P33">
        <v>6.2E-2</v>
      </c>
      <c r="Q33">
        <v>34.506</v>
      </c>
      <c r="R33">
        <v>58.688000000000002</v>
      </c>
      <c r="S33">
        <v>41.311999999999998</v>
      </c>
      <c r="T33">
        <v>349.91</v>
      </c>
      <c r="U33">
        <v>0.03</v>
      </c>
      <c r="W33">
        <v>0</v>
      </c>
      <c r="X33">
        <v>11.2</v>
      </c>
    </row>
    <row r="34" spans="1:25" x14ac:dyDescent="0.25">
      <c r="A34" t="s">
        <v>29</v>
      </c>
      <c r="B34" t="s">
        <v>30</v>
      </c>
      <c r="C34" t="s">
        <v>31</v>
      </c>
      <c r="D34">
        <v>2007</v>
      </c>
      <c r="E34">
        <v>40016767</v>
      </c>
      <c r="F34">
        <v>714725198062</v>
      </c>
      <c r="G34">
        <v>113.52</v>
      </c>
      <c r="H34">
        <v>121.12</v>
      </c>
      <c r="I34">
        <v>0</v>
      </c>
      <c r="J34">
        <v>0.06</v>
      </c>
      <c r="K34">
        <v>32.35</v>
      </c>
      <c r="L34">
        <v>31.22</v>
      </c>
      <c r="M34">
        <v>7.25</v>
      </c>
      <c r="N34">
        <v>73.92</v>
      </c>
      <c r="O34">
        <v>0</v>
      </c>
      <c r="P34">
        <v>5.2999999999999999E-2</v>
      </c>
      <c r="Q34">
        <v>28.497</v>
      </c>
      <c r="R34">
        <v>65.116</v>
      </c>
      <c r="S34">
        <v>34.884</v>
      </c>
      <c r="T34">
        <v>388.04</v>
      </c>
      <c r="U34">
        <v>0.03</v>
      </c>
      <c r="W34">
        <v>-14.3</v>
      </c>
      <c r="X34">
        <v>-17.3</v>
      </c>
    </row>
    <row r="35" spans="1:25" x14ac:dyDescent="0.25">
      <c r="A35" t="s">
        <v>29</v>
      </c>
      <c r="B35" t="s">
        <v>30</v>
      </c>
      <c r="C35" t="s">
        <v>31</v>
      </c>
      <c r="D35">
        <v>2008</v>
      </c>
      <c r="E35">
        <v>40424151</v>
      </c>
      <c r="F35">
        <v>747157417513</v>
      </c>
      <c r="G35">
        <v>121.91</v>
      </c>
      <c r="H35">
        <v>127.39</v>
      </c>
      <c r="I35">
        <v>0</v>
      </c>
      <c r="J35">
        <v>0.04</v>
      </c>
      <c r="K35">
        <v>32.450000000000003</v>
      </c>
      <c r="L35">
        <v>31.2</v>
      </c>
      <c r="M35">
        <v>7.39</v>
      </c>
      <c r="N35">
        <v>82.07</v>
      </c>
      <c r="O35">
        <v>0</v>
      </c>
      <c r="P35">
        <v>3.3000000000000002E-2</v>
      </c>
      <c r="Q35">
        <v>26.617999999999999</v>
      </c>
      <c r="R35">
        <v>67.319999999999993</v>
      </c>
      <c r="S35">
        <v>32.68</v>
      </c>
      <c r="T35">
        <v>400.62</v>
      </c>
      <c r="U35">
        <v>0.02</v>
      </c>
      <c r="W35">
        <v>-33.299999999999997</v>
      </c>
      <c r="X35">
        <v>0.3</v>
      </c>
    </row>
    <row r="36" spans="1:25" x14ac:dyDescent="0.25">
      <c r="A36" t="s">
        <v>29</v>
      </c>
      <c r="B36" t="s">
        <v>30</v>
      </c>
      <c r="C36" t="s">
        <v>31</v>
      </c>
      <c r="D36">
        <v>2009</v>
      </c>
      <c r="E36">
        <v>40854832</v>
      </c>
      <c r="F36">
        <v>705920838368</v>
      </c>
      <c r="G36">
        <v>122.32</v>
      </c>
      <c r="H36">
        <v>128.47999999999999</v>
      </c>
      <c r="I36">
        <v>0</v>
      </c>
      <c r="J36">
        <v>0.04</v>
      </c>
      <c r="K36">
        <v>35.85</v>
      </c>
      <c r="L36">
        <v>34.619999999999997</v>
      </c>
      <c r="M36">
        <v>8.18</v>
      </c>
      <c r="N36">
        <v>78.290000000000006</v>
      </c>
      <c r="O36">
        <v>0</v>
      </c>
      <c r="P36">
        <v>3.3000000000000002E-2</v>
      </c>
      <c r="Q36">
        <v>29.308</v>
      </c>
      <c r="R36">
        <v>64.004000000000005</v>
      </c>
      <c r="S36">
        <v>35.996000000000002</v>
      </c>
      <c r="T36">
        <v>382.36</v>
      </c>
      <c r="U36">
        <v>0.02</v>
      </c>
      <c r="W36">
        <v>0</v>
      </c>
      <c r="X36">
        <v>10.5</v>
      </c>
    </row>
    <row r="37" spans="1:25" x14ac:dyDescent="0.25">
      <c r="A37" t="s">
        <v>29</v>
      </c>
      <c r="B37" t="s">
        <v>30</v>
      </c>
      <c r="C37" t="s">
        <v>31</v>
      </c>
      <c r="D37">
        <v>2010</v>
      </c>
      <c r="E37">
        <v>41288694</v>
      </c>
      <c r="F37">
        <v>785785170150</v>
      </c>
      <c r="G37">
        <v>126</v>
      </c>
      <c r="H37">
        <v>134.6</v>
      </c>
      <c r="I37">
        <v>0</v>
      </c>
      <c r="J37">
        <v>0.03</v>
      </c>
      <c r="K37">
        <v>34.770000000000003</v>
      </c>
      <c r="L37">
        <v>33.36</v>
      </c>
      <c r="M37">
        <v>7.21</v>
      </c>
      <c r="N37">
        <v>84.02</v>
      </c>
      <c r="O37">
        <v>0</v>
      </c>
      <c r="P37">
        <v>2.4E-2</v>
      </c>
      <c r="Q37">
        <v>27.594999999999999</v>
      </c>
      <c r="R37">
        <v>66.683000000000007</v>
      </c>
      <c r="S37">
        <v>33.317</v>
      </c>
      <c r="T37">
        <v>401.59</v>
      </c>
      <c r="U37">
        <v>0.01</v>
      </c>
      <c r="W37">
        <v>-25</v>
      </c>
      <c r="X37">
        <v>-3</v>
      </c>
    </row>
    <row r="38" spans="1:25" x14ac:dyDescent="0.25">
      <c r="A38" t="s">
        <v>29</v>
      </c>
      <c r="B38" t="s">
        <v>30</v>
      </c>
      <c r="C38" t="s">
        <v>31</v>
      </c>
      <c r="D38">
        <v>2011</v>
      </c>
      <c r="E38">
        <v>41730655</v>
      </c>
      <c r="F38">
        <v>837742673804</v>
      </c>
      <c r="G38">
        <v>129.49</v>
      </c>
      <c r="H38">
        <v>139.16</v>
      </c>
      <c r="I38">
        <v>0</v>
      </c>
      <c r="J38">
        <v>0.03</v>
      </c>
      <c r="K38">
        <v>32.61</v>
      </c>
      <c r="L38">
        <v>31.19</v>
      </c>
      <c r="M38">
        <v>6.4</v>
      </c>
      <c r="N38">
        <v>90.48</v>
      </c>
      <c r="O38">
        <v>0</v>
      </c>
      <c r="P38">
        <v>2.3E-2</v>
      </c>
      <c r="Q38">
        <v>25.183</v>
      </c>
      <c r="R38">
        <v>69.873999999999995</v>
      </c>
      <c r="S38">
        <v>30.126000000000001</v>
      </c>
      <c r="T38">
        <v>419.88</v>
      </c>
      <c r="U38">
        <v>0.01</v>
      </c>
      <c r="W38">
        <v>0</v>
      </c>
      <c r="X38">
        <v>-6.2</v>
      </c>
    </row>
    <row r="39" spans="1:25" x14ac:dyDescent="0.25">
      <c r="A39" t="s">
        <v>29</v>
      </c>
      <c r="B39" t="s">
        <v>30</v>
      </c>
      <c r="C39" t="s">
        <v>31</v>
      </c>
      <c r="D39">
        <v>2012</v>
      </c>
      <c r="E39">
        <v>42161718</v>
      </c>
      <c r="F39">
        <v>829147409948</v>
      </c>
      <c r="G39">
        <v>136.02000000000001</v>
      </c>
      <c r="H39">
        <v>143.63</v>
      </c>
      <c r="I39">
        <v>0.01</v>
      </c>
      <c r="J39">
        <v>0.37</v>
      </c>
      <c r="K39">
        <v>30.99</v>
      </c>
      <c r="L39">
        <v>29.16</v>
      </c>
      <c r="M39">
        <v>6.4</v>
      </c>
      <c r="N39">
        <v>98.63</v>
      </c>
      <c r="O39">
        <v>7.0000000000000001E-3</v>
      </c>
      <c r="P39">
        <v>0.27200000000000002</v>
      </c>
      <c r="Q39">
        <v>22.783000000000001</v>
      </c>
      <c r="R39">
        <v>72.510999999999996</v>
      </c>
      <c r="S39">
        <v>27.489000000000001</v>
      </c>
      <c r="T39">
        <v>432.14</v>
      </c>
      <c r="U39">
        <v>0.17</v>
      </c>
      <c r="W39">
        <v>1133.3</v>
      </c>
      <c r="X39">
        <v>-5</v>
      </c>
    </row>
    <row r="40" spans="1:25" x14ac:dyDescent="0.25">
      <c r="A40" t="s">
        <v>29</v>
      </c>
      <c r="B40" t="s">
        <v>30</v>
      </c>
      <c r="C40" t="s">
        <v>31</v>
      </c>
      <c r="D40">
        <v>2013</v>
      </c>
      <c r="E40">
        <v>42582453</v>
      </c>
      <c r="F40">
        <v>849088398588</v>
      </c>
      <c r="G40">
        <v>139.44999999999999</v>
      </c>
      <c r="H40">
        <v>147.51</v>
      </c>
      <c r="I40">
        <v>0.02</v>
      </c>
      <c r="J40">
        <v>0.45</v>
      </c>
      <c r="K40">
        <v>34.770000000000003</v>
      </c>
      <c r="L40">
        <v>32.770000000000003</v>
      </c>
      <c r="M40">
        <v>6.21</v>
      </c>
      <c r="N40">
        <v>98.47</v>
      </c>
      <c r="O40">
        <v>1.4E-2</v>
      </c>
      <c r="P40">
        <v>0.32300000000000001</v>
      </c>
      <c r="Q40">
        <v>24.934000000000001</v>
      </c>
      <c r="R40">
        <v>70.613</v>
      </c>
      <c r="S40">
        <v>29.387</v>
      </c>
      <c r="T40">
        <v>422.23</v>
      </c>
      <c r="U40">
        <v>0.21</v>
      </c>
      <c r="V40">
        <v>100</v>
      </c>
      <c r="W40">
        <v>21.6</v>
      </c>
      <c r="X40">
        <v>12.2</v>
      </c>
    </row>
    <row r="41" spans="1:25" x14ac:dyDescent="0.25">
      <c r="A41" t="s">
        <v>29</v>
      </c>
      <c r="B41" t="s">
        <v>30</v>
      </c>
      <c r="C41" t="s">
        <v>31</v>
      </c>
      <c r="D41">
        <v>2014</v>
      </c>
      <c r="E41">
        <v>43024071</v>
      </c>
      <c r="F41">
        <v>827750786191</v>
      </c>
      <c r="G41">
        <v>138.54</v>
      </c>
      <c r="H41">
        <v>148.4</v>
      </c>
      <c r="I41">
        <v>0.02</v>
      </c>
      <c r="J41">
        <v>0.62</v>
      </c>
      <c r="K41">
        <v>34.54</v>
      </c>
      <c r="L41">
        <v>32.42</v>
      </c>
      <c r="M41">
        <v>5.51</v>
      </c>
      <c r="N41">
        <v>98.49</v>
      </c>
      <c r="O41">
        <v>1.4E-2</v>
      </c>
      <c r="P41">
        <v>0.44800000000000001</v>
      </c>
      <c r="Q41">
        <v>24.931000000000001</v>
      </c>
      <c r="R41">
        <v>71.090999999999994</v>
      </c>
      <c r="S41">
        <v>28.908999999999999</v>
      </c>
      <c r="T41">
        <v>424.14</v>
      </c>
      <c r="U41">
        <v>0.28999999999999998</v>
      </c>
      <c r="V41">
        <v>0</v>
      </c>
      <c r="W41">
        <v>37.799999999999997</v>
      </c>
      <c r="X41">
        <v>-0.7</v>
      </c>
    </row>
    <row r="42" spans="1:25" x14ac:dyDescent="0.25">
      <c r="A42" t="s">
        <v>29</v>
      </c>
      <c r="B42" t="s">
        <v>30</v>
      </c>
      <c r="C42" t="s">
        <v>31</v>
      </c>
      <c r="D42">
        <v>2015</v>
      </c>
      <c r="E42">
        <v>43477011</v>
      </c>
      <c r="F42">
        <v>850356641236</v>
      </c>
      <c r="G42">
        <v>145.41999999999999</v>
      </c>
      <c r="H42">
        <v>154.38</v>
      </c>
      <c r="I42">
        <v>0.01</v>
      </c>
      <c r="J42">
        <v>0.59</v>
      </c>
      <c r="K42">
        <v>34.43</v>
      </c>
      <c r="L42">
        <v>32.340000000000003</v>
      </c>
      <c r="M42">
        <v>7.04</v>
      </c>
      <c r="N42">
        <v>103.95</v>
      </c>
      <c r="O42">
        <v>7.0000000000000001E-3</v>
      </c>
      <c r="P42">
        <v>0.40600000000000003</v>
      </c>
      <c r="Q42">
        <v>23.675999999999998</v>
      </c>
      <c r="R42">
        <v>71.483000000000004</v>
      </c>
      <c r="S42">
        <v>28.516999999999999</v>
      </c>
      <c r="T42">
        <v>426.56</v>
      </c>
      <c r="U42">
        <v>0.27</v>
      </c>
      <c r="V42">
        <v>-50</v>
      </c>
      <c r="W42">
        <v>-4.8</v>
      </c>
      <c r="X42">
        <v>-0.3</v>
      </c>
    </row>
    <row r="43" spans="1:25" x14ac:dyDescent="0.25">
      <c r="A43" t="s">
        <v>29</v>
      </c>
      <c r="B43" t="s">
        <v>30</v>
      </c>
      <c r="C43" t="s">
        <v>31</v>
      </c>
      <c r="D43">
        <v>2016</v>
      </c>
      <c r="E43">
        <v>43900312</v>
      </c>
      <c r="F43">
        <v>832669278245</v>
      </c>
      <c r="G43">
        <v>147.18</v>
      </c>
      <c r="H43">
        <v>156.69999999999999</v>
      </c>
      <c r="I43">
        <v>0.01</v>
      </c>
      <c r="J43">
        <v>0.55000000000000004</v>
      </c>
      <c r="K43">
        <v>31.49</v>
      </c>
      <c r="L43">
        <v>29.75</v>
      </c>
      <c r="M43">
        <v>8.2799999999999994</v>
      </c>
      <c r="N43">
        <v>107.41</v>
      </c>
      <c r="O43">
        <v>7.0000000000000001E-3</v>
      </c>
      <c r="P43">
        <v>0.374</v>
      </c>
      <c r="Q43">
        <v>21.396000000000001</v>
      </c>
      <c r="R43">
        <v>72.978999999999999</v>
      </c>
      <c r="S43">
        <v>27.021000000000001</v>
      </c>
      <c r="T43">
        <v>431.92</v>
      </c>
      <c r="U43">
        <v>0.25</v>
      </c>
      <c r="V43">
        <v>0</v>
      </c>
      <c r="W43">
        <v>-6.8</v>
      </c>
      <c r="X43">
        <v>-8.5</v>
      </c>
    </row>
    <row r="44" spans="1:25" x14ac:dyDescent="0.25">
      <c r="A44" t="s">
        <v>29</v>
      </c>
      <c r="B44" t="s">
        <v>30</v>
      </c>
      <c r="C44" t="s">
        <v>31</v>
      </c>
      <c r="D44">
        <v>2017</v>
      </c>
      <c r="E44">
        <v>44288898</v>
      </c>
      <c r="F44">
        <v>856142153676</v>
      </c>
      <c r="G44">
        <v>145.61000000000001</v>
      </c>
      <c r="H44">
        <v>156.07</v>
      </c>
      <c r="I44">
        <v>0.02</v>
      </c>
      <c r="J44">
        <v>0.61</v>
      </c>
      <c r="K44">
        <v>33.68</v>
      </c>
      <c r="L44">
        <v>31.59</v>
      </c>
      <c r="M44">
        <v>6.09</v>
      </c>
      <c r="N44">
        <v>105.84</v>
      </c>
      <c r="O44">
        <v>1.4E-2</v>
      </c>
      <c r="P44">
        <v>0.41899999999999998</v>
      </c>
      <c r="Q44">
        <v>23.13</v>
      </c>
      <c r="R44">
        <v>72.686999999999998</v>
      </c>
      <c r="S44">
        <v>27.312999999999999</v>
      </c>
      <c r="T44">
        <v>425.38</v>
      </c>
      <c r="U44">
        <v>0.28000000000000003</v>
      </c>
      <c r="V44">
        <v>100</v>
      </c>
      <c r="W44">
        <v>10.9</v>
      </c>
      <c r="X44">
        <v>7</v>
      </c>
    </row>
    <row r="45" spans="1:25" x14ac:dyDescent="0.25">
      <c r="A45" t="s">
        <v>29</v>
      </c>
      <c r="B45" t="s">
        <v>30</v>
      </c>
      <c r="C45" t="s">
        <v>31</v>
      </c>
      <c r="D45">
        <v>2018</v>
      </c>
      <c r="E45">
        <v>44654876</v>
      </c>
      <c r="F45">
        <v>833736983405</v>
      </c>
      <c r="G45">
        <v>146.78</v>
      </c>
      <c r="H45">
        <v>156.34</v>
      </c>
      <c r="I45">
        <v>0.11</v>
      </c>
      <c r="J45">
        <v>1.41</v>
      </c>
      <c r="K45">
        <v>35.22</v>
      </c>
      <c r="L45">
        <v>32.28</v>
      </c>
      <c r="M45">
        <v>6.87</v>
      </c>
      <c r="N45">
        <v>104.69</v>
      </c>
      <c r="O45">
        <v>7.4999999999999997E-2</v>
      </c>
      <c r="P45">
        <v>0.96099999999999997</v>
      </c>
      <c r="Q45">
        <v>23.995000000000001</v>
      </c>
      <c r="R45">
        <v>71.323999999999998</v>
      </c>
      <c r="S45">
        <v>28.675999999999998</v>
      </c>
      <c r="T45">
        <v>414.29</v>
      </c>
      <c r="U45">
        <v>0.68</v>
      </c>
      <c r="V45">
        <v>450</v>
      </c>
      <c r="W45">
        <v>131.1</v>
      </c>
      <c r="X45">
        <v>4.5999999999999996</v>
      </c>
    </row>
    <row r="46" spans="1:25" x14ac:dyDescent="0.25">
      <c r="A46" t="s">
        <v>29</v>
      </c>
      <c r="B46" t="s">
        <v>30</v>
      </c>
      <c r="C46" t="s">
        <v>31</v>
      </c>
      <c r="D46">
        <v>2019</v>
      </c>
      <c r="E46">
        <v>44973469</v>
      </c>
      <c r="F46">
        <v>817053926667</v>
      </c>
      <c r="G46">
        <v>139.53</v>
      </c>
      <c r="H46">
        <v>150.22</v>
      </c>
      <c r="I46">
        <v>0.8</v>
      </c>
      <c r="J46">
        <v>5</v>
      </c>
      <c r="K46">
        <v>34.78</v>
      </c>
      <c r="L46">
        <v>27.5</v>
      </c>
      <c r="M46">
        <v>8.44</v>
      </c>
      <c r="N46">
        <v>96.31</v>
      </c>
      <c r="O46">
        <v>0.57299999999999995</v>
      </c>
      <c r="P46">
        <v>3.5830000000000002</v>
      </c>
      <c r="Q46">
        <v>24.927</v>
      </c>
      <c r="R46">
        <v>69.025000000000006</v>
      </c>
      <c r="S46">
        <v>30.975000000000001</v>
      </c>
      <c r="T46">
        <v>397.62</v>
      </c>
      <c r="U46">
        <v>2.61</v>
      </c>
      <c r="V46">
        <v>627.29999999999995</v>
      </c>
      <c r="W46">
        <v>254.6</v>
      </c>
      <c r="X46">
        <v>-1.2</v>
      </c>
    </row>
    <row r="47" spans="1:25" x14ac:dyDescent="0.25">
      <c r="A47" t="s">
        <v>29</v>
      </c>
      <c r="B47" t="s">
        <v>30</v>
      </c>
      <c r="C47" t="s">
        <v>31</v>
      </c>
      <c r="D47">
        <v>2020</v>
      </c>
      <c r="E47">
        <v>45191960</v>
      </c>
      <c r="F47">
        <v>735814250460</v>
      </c>
      <c r="G47">
        <v>144.63999999999999</v>
      </c>
      <c r="H47">
        <v>149.35</v>
      </c>
      <c r="I47">
        <v>1.34</v>
      </c>
      <c r="J47">
        <v>9.41</v>
      </c>
      <c r="K47">
        <v>36.619999999999997</v>
      </c>
      <c r="L47">
        <v>23.67</v>
      </c>
      <c r="M47">
        <v>10.01</v>
      </c>
      <c r="N47">
        <v>98.01</v>
      </c>
      <c r="O47">
        <v>0.92600000000000005</v>
      </c>
      <c r="P47">
        <v>6.5060000000000002</v>
      </c>
      <c r="Q47">
        <v>25.318000000000001</v>
      </c>
      <c r="R47">
        <v>67.760999999999996</v>
      </c>
      <c r="S47">
        <v>32.238999999999997</v>
      </c>
      <c r="T47">
        <v>394.7</v>
      </c>
      <c r="U47">
        <v>4.84</v>
      </c>
      <c r="V47">
        <v>67.5</v>
      </c>
      <c r="W47">
        <v>88.2</v>
      </c>
      <c r="X47">
        <v>5.3</v>
      </c>
    </row>
    <row r="48" spans="1:25" x14ac:dyDescent="0.25">
      <c r="A48" t="s">
        <v>29</v>
      </c>
      <c r="B48" t="s">
        <v>30</v>
      </c>
      <c r="C48" t="s">
        <v>31</v>
      </c>
      <c r="D48">
        <v>2021</v>
      </c>
      <c r="E48">
        <v>45312282</v>
      </c>
      <c r="F48">
        <v>812324184006</v>
      </c>
      <c r="G48">
        <v>153.15</v>
      </c>
      <c r="H48">
        <v>155.65</v>
      </c>
      <c r="I48">
        <v>2.2000000000000002</v>
      </c>
      <c r="J48">
        <v>12.94</v>
      </c>
      <c r="K48">
        <v>37.04</v>
      </c>
      <c r="L48">
        <v>19.649999999999999</v>
      </c>
      <c r="M48">
        <v>10.17</v>
      </c>
      <c r="N48">
        <v>105.94</v>
      </c>
      <c r="O48">
        <v>1.4370000000000001</v>
      </c>
      <c r="P48">
        <v>8.4489999999999998</v>
      </c>
      <c r="Q48">
        <v>24.184999999999999</v>
      </c>
      <c r="R48">
        <v>69.174000000000007</v>
      </c>
      <c r="S48">
        <v>30.826000000000001</v>
      </c>
      <c r="T48">
        <v>406.99</v>
      </c>
      <c r="U48">
        <v>6.81</v>
      </c>
      <c r="V48">
        <v>64.2</v>
      </c>
      <c r="W48">
        <v>37.5</v>
      </c>
      <c r="X48">
        <v>1.1000000000000001</v>
      </c>
      <c r="Y48" t="s">
        <v>32</v>
      </c>
    </row>
    <row r="49" spans="1:24" x14ac:dyDescent="0.25">
      <c r="A49" t="s">
        <v>29</v>
      </c>
      <c r="B49" t="s">
        <v>30</v>
      </c>
      <c r="C49" t="s">
        <v>31</v>
      </c>
      <c r="D49">
        <v>2022</v>
      </c>
      <c r="E49">
        <v>45407904</v>
      </c>
      <c r="F49">
        <v>854914363923</v>
      </c>
      <c r="G49">
        <v>145.61000000000001</v>
      </c>
      <c r="H49">
        <v>158.49</v>
      </c>
      <c r="I49">
        <v>2.94</v>
      </c>
      <c r="J49">
        <v>14.16</v>
      </c>
      <c r="K49">
        <v>42.27</v>
      </c>
      <c r="L49">
        <v>22.77</v>
      </c>
      <c r="M49">
        <v>7.47</v>
      </c>
      <c r="N49">
        <v>95.87</v>
      </c>
      <c r="O49">
        <v>2.0190000000000001</v>
      </c>
      <c r="P49">
        <v>9.7249999999999996</v>
      </c>
      <c r="Q49">
        <v>29.03</v>
      </c>
      <c r="R49">
        <v>65.84</v>
      </c>
      <c r="S49">
        <v>34.159999999999997</v>
      </c>
      <c r="T49">
        <v>392.69</v>
      </c>
      <c r="U49">
        <v>7.7</v>
      </c>
      <c r="V49">
        <v>33.6</v>
      </c>
      <c r="W49">
        <v>9.4</v>
      </c>
      <c r="X49">
        <v>14.1</v>
      </c>
    </row>
    <row r="50" spans="1:24" x14ac:dyDescent="0.25">
      <c r="A50" t="s">
        <v>29</v>
      </c>
      <c r="B50" t="s">
        <v>30</v>
      </c>
      <c r="C50" t="s">
        <v>31</v>
      </c>
      <c r="D50">
        <v>2023</v>
      </c>
      <c r="E50">
        <v>45538402</v>
      </c>
      <c r="G50">
        <v>148.56</v>
      </c>
      <c r="H50">
        <v>163.9</v>
      </c>
      <c r="I50">
        <v>3.28</v>
      </c>
      <c r="J50">
        <v>14.48</v>
      </c>
      <c r="K50">
        <v>51.65</v>
      </c>
      <c r="L50">
        <v>31.49</v>
      </c>
      <c r="M50">
        <v>8.9600000000000009</v>
      </c>
      <c r="N50">
        <v>87.95</v>
      </c>
      <c r="O50">
        <v>2.2080000000000002</v>
      </c>
      <c r="P50">
        <v>9.7469999999999999</v>
      </c>
      <c r="Q50">
        <v>34.767000000000003</v>
      </c>
      <c r="R50">
        <v>59.201999999999998</v>
      </c>
      <c r="S50">
        <v>40.798000000000002</v>
      </c>
      <c r="T50">
        <v>350.9</v>
      </c>
      <c r="U50">
        <v>7.99</v>
      </c>
      <c r="V50">
        <v>11.6</v>
      </c>
      <c r="W50">
        <v>2.2999999999999998</v>
      </c>
      <c r="X50">
        <v>22.2</v>
      </c>
    </row>
    <row r="51" spans="1:24" x14ac:dyDescent="0.25">
      <c r="A51" t="s">
        <v>29</v>
      </c>
      <c r="B51" t="s">
        <v>30</v>
      </c>
      <c r="C51" t="s">
        <v>31</v>
      </c>
      <c r="D51">
        <v>2024</v>
      </c>
      <c r="E51">
        <v>45696153</v>
      </c>
      <c r="G51">
        <v>152.51</v>
      </c>
      <c r="H51">
        <v>161.68</v>
      </c>
      <c r="I51">
        <v>3.97</v>
      </c>
      <c r="J51">
        <v>16.170000000000002</v>
      </c>
      <c r="K51">
        <v>52.44</v>
      </c>
      <c r="L51">
        <v>29.67</v>
      </c>
      <c r="M51">
        <v>10.45</v>
      </c>
      <c r="N51">
        <v>89.62</v>
      </c>
      <c r="O51">
        <v>2.6030000000000002</v>
      </c>
      <c r="P51">
        <v>10.603</v>
      </c>
      <c r="Q51">
        <v>34.384999999999998</v>
      </c>
      <c r="R51">
        <v>58.762999999999998</v>
      </c>
      <c r="S51">
        <v>41.237000000000002</v>
      </c>
      <c r="T51">
        <v>344.83</v>
      </c>
      <c r="U51">
        <v>9.06</v>
      </c>
      <c r="V51">
        <v>21</v>
      </c>
      <c r="W51">
        <v>11.7</v>
      </c>
      <c r="X51">
        <v>1.5</v>
      </c>
    </row>
    <row r="52" spans="1:24" x14ac:dyDescent="0.25">
      <c r="A52" t="s">
        <v>29</v>
      </c>
      <c r="B52" t="s">
        <v>30</v>
      </c>
      <c r="C52" t="s">
        <v>31</v>
      </c>
      <c r="D52">
        <v>2025</v>
      </c>
      <c r="E52">
        <v>45851379</v>
      </c>
      <c r="G52">
        <v>153.15</v>
      </c>
      <c r="H52">
        <v>162.44999999999999</v>
      </c>
      <c r="I52">
        <v>5.14</v>
      </c>
      <c r="J52">
        <v>18.62</v>
      </c>
      <c r="K52">
        <v>52.96</v>
      </c>
      <c r="L52">
        <v>26.25</v>
      </c>
      <c r="M52">
        <v>10.76</v>
      </c>
      <c r="N52">
        <v>89.43</v>
      </c>
      <c r="O52">
        <v>3.3559999999999999</v>
      </c>
      <c r="P52">
        <v>12.157999999999999</v>
      </c>
      <c r="Q52">
        <v>34.58</v>
      </c>
      <c r="R52">
        <v>58.393999999999998</v>
      </c>
      <c r="S52">
        <v>41.606000000000002</v>
      </c>
      <c r="T52">
        <v>346</v>
      </c>
      <c r="U52">
        <v>10.69</v>
      </c>
      <c r="V52">
        <v>29.5</v>
      </c>
      <c r="W52">
        <v>15.2</v>
      </c>
      <c r="X52">
        <v>1</v>
      </c>
    </row>
    <row r="53" spans="1:24" x14ac:dyDescent="0.25">
      <c r="A53" t="s">
        <v>33</v>
      </c>
      <c r="B53" t="s">
        <v>34</v>
      </c>
      <c r="C53" t="s">
        <v>35</v>
      </c>
      <c r="D53">
        <v>2000</v>
      </c>
      <c r="E53">
        <v>19132472</v>
      </c>
      <c r="F53">
        <v>692059312020</v>
      </c>
      <c r="G53">
        <v>216.83</v>
      </c>
      <c r="H53">
        <v>216.83</v>
      </c>
      <c r="I53">
        <v>0.05</v>
      </c>
      <c r="J53">
        <v>0.13</v>
      </c>
      <c r="K53">
        <v>17.54</v>
      </c>
      <c r="L53">
        <v>16.47</v>
      </c>
      <c r="M53">
        <v>0</v>
      </c>
      <c r="N53">
        <v>199.29</v>
      </c>
      <c r="O53">
        <v>2.3E-2</v>
      </c>
      <c r="P53">
        <v>0.06</v>
      </c>
      <c r="Q53">
        <v>8.0890000000000004</v>
      </c>
      <c r="R53">
        <v>91.911000000000001</v>
      </c>
      <c r="S53">
        <v>8.0890000000000004</v>
      </c>
      <c r="T53">
        <v>805.98</v>
      </c>
      <c r="U53">
        <v>0.08</v>
      </c>
    </row>
    <row r="54" spans="1:24" x14ac:dyDescent="0.25">
      <c r="A54" t="s">
        <v>33</v>
      </c>
      <c r="B54" t="s">
        <v>34</v>
      </c>
      <c r="C54" t="s">
        <v>35</v>
      </c>
      <c r="D54">
        <v>2001</v>
      </c>
      <c r="E54">
        <v>19365438</v>
      </c>
      <c r="F54">
        <v>713890072308</v>
      </c>
      <c r="G54">
        <v>224.26</v>
      </c>
      <c r="H54">
        <v>224.26</v>
      </c>
      <c r="I54">
        <v>0.05</v>
      </c>
      <c r="J54">
        <v>0.28999999999999998</v>
      </c>
      <c r="K54">
        <v>17.260000000000002</v>
      </c>
      <c r="L54">
        <v>16.12</v>
      </c>
      <c r="M54">
        <v>0</v>
      </c>
      <c r="N54">
        <v>207</v>
      </c>
      <c r="O54">
        <v>2.1999999999999999E-2</v>
      </c>
      <c r="P54">
        <v>0.129</v>
      </c>
      <c r="Q54">
        <v>7.6959999999999997</v>
      </c>
      <c r="R54">
        <v>92.304000000000002</v>
      </c>
      <c r="S54">
        <v>7.6959999999999997</v>
      </c>
      <c r="T54">
        <v>803.13</v>
      </c>
      <c r="U54">
        <v>0.15</v>
      </c>
      <c r="V54">
        <v>0</v>
      </c>
      <c r="W54">
        <v>123.1</v>
      </c>
      <c r="X54">
        <v>-1.6</v>
      </c>
    </row>
    <row r="55" spans="1:24" x14ac:dyDescent="0.25">
      <c r="A55" t="s">
        <v>33</v>
      </c>
      <c r="B55" t="s">
        <v>34</v>
      </c>
      <c r="C55" t="s">
        <v>35</v>
      </c>
      <c r="D55">
        <v>2002</v>
      </c>
      <c r="E55">
        <v>19595356</v>
      </c>
      <c r="F55">
        <v>747065694937</v>
      </c>
      <c r="G55">
        <v>223.49</v>
      </c>
      <c r="H55">
        <v>223.49</v>
      </c>
      <c r="I55">
        <v>0.06</v>
      </c>
      <c r="J55">
        <v>0.53</v>
      </c>
      <c r="K55">
        <v>17.95</v>
      </c>
      <c r="L55">
        <v>16.09</v>
      </c>
      <c r="M55">
        <v>0</v>
      </c>
      <c r="N55">
        <v>205.54</v>
      </c>
      <c r="O55">
        <v>2.7E-2</v>
      </c>
      <c r="P55">
        <v>0.23699999999999999</v>
      </c>
      <c r="Q55">
        <v>8.032</v>
      </c>
      <c r="R55">
        <v>91.968000000000004</v>
      </c>
      <c r="S55">
        <v>8.032</v>
      </c>
      <c r="T55">
        <v>794.67</v>
      </c>
      <c r="U55">
        <v>0.27</v>
      </c>
      <c r="V55">
        <v>20</v>
      </c>
      <c r="W55">
        <v>82.8</v>
      </c>
      <c r="X55">
        <v>4</v>
      </c>
    </row>
    <row r="56" spans="1:24" x14ac:dyDescent="0.25">
      <c r="A56" t="s">
        <v>33</v>
      </c>
      <c r="B56" t="s">
        <v>34</v>
      </c>
      <c r="C56" t="s">
        <v>35</v>
      </c>
      <c r="D56">
        <v>2003</v>
      </c>
      <c r="E56">
        <v>19819449</v>
      </c>
      <c r="F56">
        <v>774450991263</v>
      </c>
      <c r="G56">
        <v>225.95</v>
      </c>
      <c r="H56">
        <v>225.95</v>
      </c>
      <c r="I56">
        <v>0.06</v>
      </c>
      <c r="J56">
        <v>0.7</v>
      </c>
      <c r="K56">
        <v>18.66</v>
      </c>
      <c r="L56">
        <v>16.21</v>
      </c>
      <c r="M56">
        <v>0</v>
      </c>
      <c r="N56">
        <v>207.29</v>
      </c>
      <c r="O56">
        <v>2.7E-2</v>
      </c>
      <c r="P56">
        <v>0.31</v>
      </c>
      <c r="Q56">
        <v>8.2579999999999991</v>
      </c>
      <c r="R56">
        <v>91.742000000000004</v>
      </c>
      <c r="S56">
        <v>8.2579999999999991</v>
      </c>
      <c r="T56">
        <v>792.17</v>
      </c>
      <c r="U56">
        <v>0.34</v>
      </c>
      <c r="V56">
        <v>0</v>
      </c>
      <c r="W56">
        <v>32.1</v>
      </c>
      <c r="X56">
        <v>4</v>
      </c>
    </row>
    <row r="57" spans="1:24" x14ac:dyDescent="0.25">
      <c r="A57" t="s">
        <v>33</v>
      </c>
      <c r="B57" t="s">
        <v>34</v>
      </c>
      <c r="C57" t="s">
        <v>35</v>
      </c>
      <c r="D57">
        <v>2004</v>
      </c>
      <c r="E57">
        <v>20046679</v>
      </c>
      <c r="F57">
        <v>809792445090</v>
      </c>
      <c r="G57">
        <v>229.23</v>
      </c>
      <c r="H57">
        <v>229.23</v>
      </c>
      <c r="I57">
        <v>7.0000000000000007E-2</v>
      </c>
      <c r="J57">
        <v>0.8</v>
      </c>
      <c r="K57">
        <v>19.38</v>
      </c>
      <c r="L57">
        <v>15.69</v>
      </c>
      <c r="M57">
        <v>0</v>
      </c>
      <c r="N57">
        <v>209.85</v>
      </c>
      <c r="O57">
        <v>3.1E-2</v>
      </c>
      <c r="P57">
        <v>0.34899999999999998</v>
      </c>
      <c r="Q57">
        <v>8.4540000000000006</v>
      </c>
      <c r="R57">
        <v>91.546000000000006</v>
      </c>
      <c r="S57">
        <v>8.4540000000000006</v>
      </c>
      <c r="T57">
        <v>792.83</v>
      </c>
      <c r="U57">
        <v>0.39</v>
      </c>
      <c r="V57">
        <v>16.7</v>
      </c>
      <c r="W57">
        <v>14.3</v>
      </c>
      <c r="X57">
        <v>3.9</v>
      </c>
    </row>
    <row r="58" spans="1:24" x14ac:dyDescent="0.25">
      <c r="A58" t="s">
        <v>33</v>
      </c>
      <c r="B58" t="s">
        <v>34</v>
      </c>
      <c r="C58" t="s">
        <v>35</v>
      </c>
      <c r="D58">
        <v>2005</v>
      </c>
      <c r="E58">
        <v>20294490</v>
      </c>
      <c r="F58">
        <v>840092380696</v>
      </c>
      <c r="G58">
        <v>230.74</v>
      </c>
      <c r="H58">
        <v>230.74</v>
      </c>
      <c r="I58">
        <v>0.08</v>
      </c>
      <c r="J58">
        <v>1.3</v>
      </c>
      <c r="K58">
        <v>20.72</v>
      </c>
      <c r="L58">
        <v>15.47</v>
      </c>
      <c r="M58">
        <v>0</v>
      </c>
      <c r="N58">
        <v>210.02</v>
      </c>
      <c r="O58">
        <v>3.5000000000000003E-2</v>
      </c>
      <c r="P58">
        <v>0.56299999999999994</v>
      </c>
      <c r="Q58">
        <v>8.98</v>
      </c>
      <c r="R58">
        <v>91.02</v>
      </c>
      <c r="S58">
        <v>8.98</v>
      </c>
      <c r="T58">
        <v>791.8</v>
      </c>
      <c r="U58">
        <v>0.62</v>
      </c>
      <c r="V58">
        <v>14.3</v>
      </c>
      <c r="W58">
        <v>62.5</v>
      </c>
      <c r="X58">
        <v>6.9</v>
      </c>
    </row>
    <row r="59" spans="1:24" x14ac:dyDescent="0.25">
      <c r="A59" t="s">
        <v>33</v>
      </c>
      <c r="B59" t="s">
        <v>34</v>
      </c>
      <c r="C59" t="s">
        <v>35</v>
      </c>
      <c r="D59">
        <v>2006</v>
      </c>
      <c r="E59">
        <v>20590566</v>
      </c>
      <c r="F59">
        <v>866678665246</v>
      </c>
      <c r="G59">
        <v>237.99</v>
      </c>
      <c r="H59">
        <v>237.99</v>
      </c>
      <c r="I59">
        <v>0.1</v>
      </c>
      <c r="J59">
        <v>2.16</v>
      </c>
      <c r="K59">
        <v>21.14</v>
      </c>
      <c r="L59">
        <v>14.95</v>
      </c>
      <c r="M59">
        <v>0</v>
      </c>
      <c r="N59">
        <v>216.85</v>
      </c>
      <c r="O59">
        <v>4.2000000000000003E-2</v>
      </c>
      <c r="P59">
        <v>0.90800000000000003</v>
      </c>
      <c r="Q59">
        <v>8.8829999999999991</v>
      </c>
      <c r="R59">
        <v>91.117000000000004</v>
      </c>
      <c r="S59">
        <v>8.8829999999999991</v>
      </c>
      <c r="T59">
        <v>790.5</v>
      </c>
      <c r="U59">
        <v>1.02</v>
      </c>
      <c r="V59">
        <v>25</v>
      </c>
      <c r="W59">
        <v>66.2</v>
      </c>
      <c r="X59">
        <v>2</v>
      </c>
    </row>
    <row r="60" spans="1:24" x14ac:dyDescent="0.25">
      <c r="A60" t="s">
        <v>33</v>
      </c>
      <c r="B60" t="s">
        <v>34</v>
      </c>
      <c r="C60" t="s">
        <v>35</v>
      </c>
      <c r="D60">
        <v>2007</v>
      </c>
      <c r="E60">
        <v>20954545</v>
      </c>
      <c r="F60">
        <v>911250727265</v>
      </c>
      <c r="G60">
        <v>243.19</v>
      </c>
      <c r="H60">
        <v>243.19</v>
      </c>
      <c r="I60">
        <v>0.11</v>
      </c>
      <c r="J60">
        <v>2.85</v>
      </c>
      <c r="K60">
        <v>20.29</v>
      </c>
      <c r="L60">
        <v>13.05</v>
      </c>
      <c r="M60">
        <v>0</v>
      </c>
      <c r="N60">
        <v>222.9</v>
      </c>
      <c r="O60">
        <v>4.4999999999999998E-2</v>
      </c>
      <c r="P60">
        <v>1.1719999999999999</v>
      </c>
      <c r="Q60">
        <v>8.343</v>
      </c>
      <c r="R60">
        <v>91.656999999999996</v>
      </c>
      <c r="S60">
        <v>8.343</v>
      </c>
      <c r="T60">
        <v>791.15</v>
      </c>
      <c r="U60">
        <v>1.33</v>
      </c>
      <c r="V60">
        <v>10</v>
      </c>
      <c r="W60">
        <v>31.9</v>
      </c>
      <c r="X60">
        <v>-4</v>
      </c>
    </row>
    <row r="61" spans="1:24" x14ac:dyDescent="0.25">
      <c r="A61" t="s">
        <v>33</v>
      </c>
      <c r="B61" t="s">
        <v>34</v>
      </c>
      <c r="C61" t="s">
        <v>35</v>
      </c>
      <c r="D61">
        <v>2008</v>
      </c>
      <c r="E61">
        <v>21370595</v>
      </c>
      <c r="F61">
        <v>937889628737</v>
      </c>
      <c r="G61">
        <v>245.38</v>
      </c>
      <c r="H61">
        <v>245.38</v>
      </c>
      <c r="I61">
        <v>0.14000000000000001</v>
      </c>
      <c r="J61">
        <v>3.46</v>
      </c>
      <c r="K61">
        <v>19.12</v>
      </c>
      <c r="L61">
        <v>11.82</v>
      </c>
      <c r="M61">
        <v>0</v>
      </c>
      <c r="N61">
        <v>226.26</v>
      </c>
      <c r="O61">
        <v>5.7000000000000002E-2</v>
      </c>
      <c r="P61">
        <v>1.41</v>
      </c>
      <c r="Q61">
        <v>7.7919999999999998</v>
      </c>
      <c r="R61">
        <v>92.207999999999998</v>
      </c>
      <c r="S61">
        <v>7.7919999999999998</v>
      </c>
      <c r="T61">
        <v>791.51</v>
      </c>
      <c r="U61">
        <v>1.62</v>
      </c>
      <c r="V61">
        <v>27.3</v>
      </c>
      <c r="W61">
        <v>21.4</v>
      </c>
      <c r="X61">
        <v>-5.8</v>
      </c>
    </row>
    <row r="62" spans="1:24" x14ac:dyDescent="0.25">
      <c r="A62" t="s">
        <v>33</v>
      </c>
      <c r="B62" t="s">
        <v>34</v>
      </c>
      <c r="C62" t="s">
        <v>35</v>
      </c>
      <c r="D62">
        <v>2009</v>
      </c>
      <c r="E62">
        <v>21783014</v>
      </c>
      <c r="F62">
        <v>963129933389</v>
      </c>
      <c r="G62">
        <v>249.9</v>
      </c>
      <c r="H62">
        <v>249.9</v>
      </c>
      <c r="I62">
        <v>0.28999999999999998</v>
      </c>
      <c r="J62">
        <v>4.4400000000000004</v>
      </c>
      <c r="K62">
        <v>20.16</v>
      </c>
      <c r="L62">
        <v>12.64</v>
      </c>
      <c r="M62">
        <v>0</v>
      </c>
      <c r="N62">
        <v>229.74</v>
      </c>
      <c r="O62">
        <v>0.11600000000000001</v>
      </c>
      <c r="P62">
        <v>1.7769999999999999</v>
      </c>
      <c r="Q62">
        <v>8.0670000000000002</v>
      </c>
      <c r="R62">
        <v>91.933000000000007</v>
      </c>
      <c r="S62">
        <v>8.0670000000000002</v>
      </c>
      <c r="T62">
        <v>785.11</v>
      </c>
      <c r="U62">
        <v>2.13</v>
      </c>
      <c r="V62">
        <v>107.1</v>
      </c>
      <c r="W62">
        <v>28.3</v>
      </c>
      <c r="X62">
        <v>5.4</v>
      </c>
    </row>
    <row r="63" spans="1:24" x14ac:dyDescent="0.25">
      <c r="A63" t="s">
        <v>33</v>
      </c>
      <c r="B63" t="s">
        <v>34</v>
      </c>
      <c r="C63" t="s">
        <v>35</v>
      </c>
      <c r="D63">
        <v>2010</v>
      </c>
      <c r="E63">
        <v>22141583</v>
      </c>
      <c r="F63">
        <v>993853968687</v>
      </c>
      <c r="G63">
        <v>250.97</v>
      </c>
      <c r="H63">
        <v>250.97</v>
      </c>
      <c r="I63">
        <v>0.98</v>
      </c>
      <c r="J63">
        <v>4.99</v>
      </c>
      <c r="K63">
        <v>22.16</v>
      </c>
      <c r="L63">
        <v>13.75</v>
      </c>
      <c r="M63">
        <v>0</v>
      </c>
      <c r="N63">
        <v>228.81</v>
      </c>
      <c r="O63">
        <v>0.39</v>
      </c>
      <c r="P63">
        <v>1.988</v>
      </c>
      <c r="Q63">
        <v>8.83</v>
      </c>
      <c r="R63">
        <v>91.17</v>
      </c>
      <c r="S63">
        <v>8.83</v>
      </c>
      <c r="T63">
        <v>775.67</v>
      </c>
      <c r="U63">
        <v>2.69</v>
      </c>
      <c r="V63">
        <v>237.9</v>
      </c>
      <c r="W63">
        <v>12.4</v>
      </c>
      <c r="X63">
        <v>9.9</v>
      </c>
    </row>
    <row r="64" spans="1:24" x14ac:dyDescent="0.25">
      <c r="A64" t="s">
        <v>33</v>
      </c>
      <c r="B64" t="s">
        <v>34</v>
      </c>
      <c r="C64" t="s">
        <v>35</v>
      </c>
      <c r="D64">
        <v>2011</v>
      </c>
      <c r="E64">
        <v>22479779</v>
      </c>
      <c r="F64">
        <v>1024000293343</v>
      </c>
      <c r="G64">
        <v>256.27999999999997</v>
      </c>
      <c r="H64">
        <v>256.27999999999997</v>
      </c>
      <c r="I64">
        <v>2.04</v>
      </c>
      <c r="J64">
        <v>6.43</v>
      </c>
      <c r="K64">
        <v>30.61</v>
      </c>
      <c r="L64">
        <v>19.57</v>
      </c>
      <c r="M64">
        <v>0</v>
      </c>
      <c r="N64">
        <v>225.67</v>
      </c>
      <c r="O64">
        <v>0.79600000000000004</v>
      </c>
      <c r="P64">
        <v>2.5089999999999999</v>
      </c>
      <c r="Q64">
        <v>11.944000000000001</v>
      </c>
      <c r="R64">
        <v>88.055999999999997</v>
      </c>
      <c r="S64">
        <v>11.944000000000001</v>
      </c>
      <c r="T64">
        <v>749.42</v>
      </c>
      <c r="U64">
        <v>3.81</v>
      </c>
      <c r="V64">
        <v>108.2</v>
      </c>
      <c r="W64">
        <v>28.9</v>
      </c>
      <c r="X64">
        <v>38.1</v>
      </c>
    </row>
    <row r="65" spans="1:25" x14ac:dyDescent="0.25">
      <c r="A65" t="s">
        <v>33</v>
      </c>
      <c r="B65" t="s">
        <v>34</v>
      </c>
      <c r="C65" t="s">
        <v>35</v>
      </c>
      <c r="D65">
        <v>2012</v>
      </c>
      <c r="E65">
        <v>22852648</v>
      </c>
      <c r="F65">
        <v>1062662906305</v>
      </c>
      <c r="G65">
        <v>250.66</v>
      </c>
      <c r="H65">
        <v>250.66</v>
      </c>
      <c r="I65">
        <v>2.41</v>
      </c>
      <c r="J65">
        <v>7.72</v>
      </c>
      <c r="K65">
        <v>30.27</v>
      </c>
      <c r="L65">
        <v>17.04</v>
      </c>
      <c r="M65">
        <v>0</v>
      </c>
      <c r="N65">
        <v>220.39</v>
      </c>
      <c r="O65">
        <v>0.96099999999999997</v>
      </c>
      <c r="P65">
        <v>3.08</v>
      </c>
      <c r="Q65">
        <v>12.076000000000001</v>
      </c>
      <c r="R65">
        <v>87.924000000000007</v>
      </c>
      <c r="S65">
        <v>12.076000000000001</v>
      </c>
      <c r="T65">
        <v>746.99</v>
      </c>
      <c r="U65">
        <v>4.5599999999999996</v>
      </c>
      <c r="V65">
        <v>18.100000000000001</v>
      </c>
      <c r="W65">
        <v>20.100000000000001</v>
      </c>
      <c r="X65">
        <v>-1.1000000000000001</v>
      </c>
    </row>
    <row r="66" spans="1:25" x14ac:dyDescent="0.25">
      <c r="A66" t="s">
        <v>33</v>
      </c>
      <c r="B66" t="s">
        <v>34</v>
      </c>
      <c r="C66" t="s">
        <v>35</v>
      </c>
      <c r="D66">
        <v>2013</v>
      </c>
      <c r="E66">
        <v>23236271</v>
      </c>
      <c r="F66">
        <v>1086068056518</v>
      </c>
      <c r="G66">
        <v>249.56</v>
      </c>
      <c r="H66">
        <v>249.56</v>
      </c>
      <c r="I66">
        <v>3.85</v>
      </c>
      <c r="J66">
        <v>9.26</v>
      </c>
      <c r="K66">
        <v>35.53</v>
      </c>
      <c r="L66">
        <v>19.09</v>
      </c>
      <c r="M66">
        <v>0</v>
      </c>
      <c r="N66">
        <v>214.03</v>
      </c>
      <c r="O66">
        <v>1.5429999999999999</v>
      </c>
      <c r="P66">
        <v>3.7109999999999999</v>
      </c>
      <c r="Q66">
        <v>14.237</v>
      </c>
      <c r="R66">
        <v>85.763000000000005</v>
      </c>
      <c r="S66">
        <v>14.237</v>
      </c>
      <c r="T66">
        <v>726.16</v>
      </c>
      <c r="U66">
        <v>5.9</v>
      </c>
      <c r="V66">
        <v>59.8</v>
      </c>
      <c r="W66">
        <v>19.899999999999999</v>
      </c>
      <c r="X66">
        <v>17.399999999999999</v>
      </c>
    </row>
    <row r="67" spans="1:25" x14ac:dyDescent="0.25">
      <c r="A67" t="s">
        <v>33</v>
      </c>
      <c r="B67" t="s">
        <v>34</v>
      </c>
      <c r="C67" t="s">
        <v>35</v>
      </c>
      <c r="D67">
        <v>2014</v>
      </c>
      <c r="E67">
        <v>23595599</v>
      </c>
      <c r="F67">
        <v>1113888062929</v>
      </c>
      <c r="G67">
        <v>247.65</v>
      </c>
      <c r="H67">
        <v>247.65</v>
      </c>
      <c r="I67">
        <v>4.95</v>
      </c>
      <c r="J67">
        <v>9.7799999999999994</v>
      </c>
      <c r="K67">
        <v>32.76</v>
      </c>
      <c r="L67">
        <v>14.48</v>
      </c>
      <c r="M67">
        <v>0</v>
      </c>
      <c r="N67">
        <v>214.89</v>
      </c>
      <c r="O67">
        <v>1.9990000000000001</v>
      </c>
      <c r="P67">
        <v>3.9489999999999998</v>
      </c>
      <c r="Q67">
        <v>13.228</v>
      </c>
      <c r="R67">
        <v>86.772000000000006</v>
      </c>
      <c r="S67">
        <v>13.228</v>
      </c>
      <c r="T67">
        <v>734.18</v>
      </c>
      <c r="U67">
        <v>6.63</v>
      </c>
      <c r="V67">
        <v>28.6</v>
      </c>
      <c r="W67">
        <v>5.6</v>
      </c>
      <c r="X67">
        <v>-7.8</v>
      </c>
    </row>
    <row r="68" spans="1:25" x14ac:dyDescent="0.25">
      <c r="A68" t="s">
        <v>33</v>
      </c>
      <c r="B68" t="s">
        <v>34</v>
      </c>
      <c r="C68" t="s">
        <v>35</v>
      </c>
      <c r="D68">
        <v>2015</v>
      </c>
      <c r="E68">
        <v>23947997</v>
      </c>
      <c r="F68">
        <v>1139303344945</v>
      </c>
      <c r="G68">
        <v>253.99</v>
      </c>
      <c r="H68">
        <v>253.99</v>
      </c>
      <c r="I68">
        <v>6.2</v>
      </c>
      <c r="J68">
        <v>11.83</v>
      </c>
      <c r="K68">
        <v>35.799999999999997</v>
      </c>
      <c r="L68">
        <v>14.09</v>
      </c>
      <c r="M68">
        <v>0</v>
      </c>
      <c r="N68">
        <v>218.19</v>
      </c>
      <c r="O68">
        <v>2.4409999999999998</v>
      </c>
      <c r="P68">
        <v>4.6580000000000004</v>
      </c>
      <c r="Q68">
        <v>14.095000000000001</v>
      </c>
      <c r="R68">
        <v>85.905000000000001</v>
      </c>
      <c r="S68">
        <v>14.095000000000001</v>
      </c>
      <c r="T68">
        <v>729.71</v>
      </c>
      <c r="U68">
        <v>8.11</v>
      </c>
      <c r="V68">
        <v>25.3</v>
      </c>
      <c r="W68">
        <v>21</v>
      </c>
      <c r="X68">
        <v>9.3000000000000007</v>
      </c>
    </row>
    <row r="69" spans="1:25" x14ac:dyDescent="0.25">
      <c r="A69" t="s">
        <v>33</v>
      </c>
      <c r="B69" t="s">
        <v>34</v>
      </c>
      <c r="C69" t="s">
        <v>35</v>
      </c>
      <c r="D69">
        <v>2016</v>
      </c>
      <c r="E69">
        <v>24329963</v>
      </c>
      <c r="F69">
        <v>1169967279612</v>
      </c>
      <c r="G69">
        <v>258.23</v>
      </c>
      <c r="H69">
        <v>258.23</v>
      </c>
      <c r="I69">
        <v>7.44</v>
      </c>
      <c r="J69">
        <v>13.04</v>
      </c>
      <c r="K69">
        <v>41.74</v>
      </c>
      <c r="L69">
        <v>17.63</v>
      </c>
      <c r="M69">
        <v>0</v>
      </c>
      <c r="N69">
        <v>216.49</v>
      </c>
      <c r="O69">
        <v>2.8809999999999998</v>
      </c>
      <c r="P69">
        <v>5.05</v>
      </c>
      <c r="Q69">
        <v>16.164000000000001</v>
      </c>
      <c r="R69">
        <v>83.835999999999999</v>
      </c>
      <c r="S69">
        <v>16.164000000000001</v>
      </c>
      <c r="T69">
        <v>713.51</v>
      </c>
      <c r="U69">
        <v>9.2200000000000006</v>
      </c>
      <c r="V69">
        <v>20</v>
      </c>
      <c r="W69">
        <v>10.199999999999999</v>
      </c>
      <c r="X69">
        <v>16.600000000000001</v>
      </c>
    </row>
    <row r="70" spans="1:25" x14ac:dyDescent="0.25">
      <c r="A70" t="s">
        <v>33</v>
      </c>
      <c r="B70" t="s">
        <v>34</v>
      </c>
      <c r="C70" t="s">
        <v>35</v>
      </c>
      <c r="D70">
        <v>2017</v>
      </c>
      <c r="E70">
        <v>24731044</v>
      </c>
      <c r="F70">
        <v>1197832839959</v>
      </c>
      <c r="G70">
        <v>258.97000000000003</v>
      </c>
      <c r="H70">
        <v>258.97000000000003</v>
      </c>
      <c r="I70">
        <v>8.92</v>
      </c>
      <c r="J70">
        <v>13.21</v>
      </c>
      <c r="K70">
        <v>39.19</v>
      </c>
      <c r="L70">
        <v>13.5</v>
      </c>
      <c r="M70">
        <v>0</v>
      </c>
      <c r="N70">
        <v>219.78</v>
      </c>
      <c r="O70">
        <v>3.444</v>
      </c>
      <c r="P70">
        <v>5.101</v>
      </c>
      <c r="Q70">
        <v>15.132999999999999</v>
      </c>
      <c r="R70">
        <v>84.867000000000004</v>
      </c>
      <c r="S70">
        <v>15.132999999999999</v>
      </c>
      <c r="T70">
        <v>718.08</v>
      </c>
      <c r="U70">
        <v>9.9600000000000009</v>
      </c>
      <c r="V70">
        <v>19.899999999999999</v>
      </c>
      <c r="W70">
        <v>1.3</v>
      </c>
      <c r="X70">
        <v>-6.1</v>
      </c>
    </row>
    <row r="71" spans="1:25" x14ac:dyDescent="0.25">
      <c r="A71" t="s">
        <v>33</v>
      </c>
      <c r="B71" t="s">
        <v>34</v>
      </c>
      <c r="C71" t="s">
        <v>35</v>
      </c>
      <c r="D71">
        <v>2018</v>
      </c>
      <c r="E71">
        <v>25119700</v>
      </c>
      <c r="F71">
        <v>1231576952488</v>
      </c>
      <c r="G71">
        <v>262.63</v>
      </c>
      <c r="H71">
        <v>262.63</v>
      </c>
      <c r="I71">
        <v>12.33</v>
      </c>
      <c r="J71">
        <v>16.260000000000002</v>
      </c>
      <c r="K71">
        <v>49.49</v>
      </c>
      <c r="L71">
        <v>17.309999999999999</v>
      </c>
      <c r="M71">
        <v>0</v>
      </c>
      <c r="N71">
        <v>213.14</v>
      </c>
      <c r="O71">
        <v>4.6950000000000003</v>
      </c>
      <c r="P71">
        <v>6.1909999999999998</v>
      </c>
      <c r="Q71">
        <v>18.844000000000001</v>
      </c>
      <c r="R71">
        <v>81.156000000000006</v>
      </c>
      <c r="S71">
        <v>18.844000000000001</v>
      </c>
      <c r="T71">
        <v>688.42</v>
      </c>
      <c r="U71">
        <v>12.87</v>
      </c>
      <c r="V71">
        <v>38.200000000000003</v>
      </c>
      <c r="W71">
        <v>23.1</v>
      </c>
      <c r="X71">
        <v>26.3</v>
      </c>
    </row>
    <row r="72" spans="1:25" x14ac:dyDescent="0.25">
      <c r="A72" t="s">
        <v>33</v>
      </c>
      <c r="B72" t="s">
        <v>34</v>
      </c>
      <c r="C72" t="s">
        <v>35</v>
      </c>
      <c r="D72">
        <v>2019</v>
      </c>
      <c r="E72">
        <v>25482714</v>
      </c>
      <c r="F72">
        <v>1255505542015</v>
      </c>
      <c r="G72">
        <v>265.89999999999998</v>
      </c>
      <c r="H72">
        <v>265.89999999999998</v>
      </c>
      <c r="I72">
        <v>18.3</v>
      </c>
      <c r="J72">
        <v>19.47</v>
      </c>
      <c r="K72">
        <v>55.26</v>
      </c>
      <c r="L72">
        <v>14.02</v>
      </c>
      <c r="M72">
        <v>0</v>
      </c>
      <c r="N72">
        <v>210.64</v>
      </c>
      <c r="O72">
        <v>6.8819999999999997</v>
      </c>
      <c r="P72">
        <v>7.3220000000000001</v>
      </c>
      <c r="Q72">
        <v>20.782</v>
      </c>
      <c r="R72">
        <v>79.218000000000004</v>
      </c>
      <c r="S72">
        <v>20.782</v>
      </c>
      <c r="T72">
        <v>670.1</v>
      </c>
      <c r="U72">
        <v>17</v>
      </c>
      <c r="V72">
        <v>48.4</v>
      </c>
      <c r="W72">
        <v>19.7</v>
      </c>
      <c r="X72">
        <v>11.7</v>
      </c>
    </row>
    <row r="73" spans="1:25" x14ac:dyDescent="0.25">
      <c r="A73" t="s">
        <v>33</v>
      </c>
      <c r="B73" t="s">
        <v>34</v>
      </c>
      <c r="C73" t="s">
        <v>35</v>
      </c>
      <c r="D73">
        <v>2020</v>
      </c>
      <c r="E73">
        <v>25743787</v>
      </c>
      <c r="F73">
        <v>1232259790388</v>
      </c>
      <c r="G73">
        <v>265.14999999999998</v>
      </c>
      <c r="H73">
        <v>265.14999999999998</v>
      </c>
      <c r="I73">
        <v>23.84</v>
      </c>
      <c r="J73">
        <v>22.61</v>
      </c>
      <c r="K73">
        <v>64.28</v>
      </c>
      <c r="L73">
        <v>14.42</v>
      </c>
      <c r="M73">
        <v>0</v>
      </c>
      <c r="N73">
        <v>200.87</v>
      </c>
      <c r="O73">
        <v>8.9909999999999997</v>
      </c>
      <c r="P73">
        <v>8.5269999999999992</v>
      </c>
      <c r="Q73">
        <v>24.242999999999999</v>
      </c>
      <c r="R73">
        <v>75.757000000000005</v>
      </c>
      <c r="S73">
        <v>24.242999999999999</v>
      </c>
      <c r="T73">
        <v>642.32000000000005</v>
      </c>
      <c r="U73">
        <v>20.9</v>
      </c>
      <c r="V73">
        <v>30.3</v>
      </c>
      <c r="W73">
        <v>16.100000000000001</v>
      </c>
      <c r="X73">
        <v>16.3</v>
      </c>
    </row>
    <row r="74" spans="1:25" x14ac:dyDescent="0.25">
      <c r="A74" t="s">
        <v>33</v>
      </c>
      <c r="B74" t="s">
        <v>34</v>
      </c>
      <c r="C74" t="s">
        <v>35</v>
      </c>
      <c r="D74">
        <v>2021</v>
      </c>
      <c r="E74">
        <v>25956417</v>
      </c>
      <c r="F74">
        <v>1296705194119</v>
      </c>
      <c r="G74">
        <v>267.45</v>
      </c>
      <c r="H74">
        <v>267.45</v>
      </c>
      <c r="I74">
        <v>31.19</v>
      </c>
      <c r="J74">
        <v>26.8</v>
      </c>
      <c r="K74">
        <v>77.27</v>
      </c>
      <c r="L74">
        <v>15.94</v>
      </c>
      <c r="M74">
        <v>0</v>
      </c>
      <c r="N74">
        <v>190.18</v>
      </c>
      <c r="O74">
        <v>11.662000000000001</v>
      </c>
      <c r="P74">
        <v>10.021000000000001</v>
      </c>
      <c r="Q74">
        <v>28.890999999999998</v>
      </c>
      <c r="R74">
        <v>71.108999999999995</v>
      </c>
      <c r="S74">
        <v>28.890999999999998</v>
      </c>
      <c r="T74">
        <v>605.91</v>
      </c>
      <c r="U74">
        <v>26.1</v>
      </c>
      <c r="V74">
        <v>30.8</v>
      </c>
      <c r="W74">
        <v>18.5</v>
      </c>
      <c r="X74">
        <v>20.2</v>
      </c>
    </row>
    <row r="75" spans="1:25" x14ac:dyDescent="0.25">
      <c r="A75" t="s">
        <v>33</v>
      </c>
      <c r="B75" t="s">
        <v>34</v>
      </c>
      <c r="C75" t="s">
        <v>35</v>
      </c>
      <c r="D75">
        <v>2022</v>
      </c>
      <c r="E75">
        <v>26200987</v>
      </c>
      <c r="F75">
        <v>1344251444393</v>
      </c>
      <c r="G75">
        <v>272.92</v>
      </c>
      <c r="H75">
        <v>272.92</v>
      </c>
      <c r="I75">
        <v>37.54</v>
      </c>
      <c r="J75">
        <v>30.05</v>
      </c>
      <c r="K75">
        <v>87.44</v>
      </c>
      <c r="L75">
        <v>16.66</v>
      </c>
      <c r="M75">
        <v>0</v>
      </c>
      <c r="N75">
        <v>185.48</v>
      </c>
      <c r="O75">
        <v>13.755000000000001</v>
      </c>
      <c r="P75">
        <v>11.010999999999999</v>
      </c>
      <c r="Q75">
        <v>32.039000000000001</v>
      </c>
      <c r="R75">
        <v>67.960999999999999</v>
      </c>
      <c r="S75">
        <v>32.039000000000001</v>
      </c>
      <c r="T75">
        <v>577.86</v>
      </c>
      <c r="U75">
        <v>30.42</v>
      </c>
      <c r="V75">
        <v>20.399999999999999</v>
      </c>
      <c r="W75">
        <v>12.1</v>
      </c>
      <c r="X75">
        <v>13.2</v>
      </c>
      <c r="Y75" t="s">
        <v>36</v>
      </c>
    </row>
    <row r="76" spans="1:25" x14ac:dyDescent="0.25">
      <c r="A76" t="s">
        <v>33</v>
      </c>
      <c r="B76" t="s">
        <v>34</v>
      </c>
      <c r="C76" t="s">
        <v>35</v>
      </c>
      <c r="D76">
        <v>2023</v>
      </c>
      <c r="E76">
        <v>26451126</v>
      </c>
      <c r="G76">
        <v>273.11</v>
      </c>
      <c r="H76">
        <v>273.11</v>
      </c>
      <c r="I76">
        <v>44.99</v>
      </c>
      <c r="J76">
        <v>31.87</v>
      </c>
      <c r="K76">
        <v>95.07</v>
      </c>
      <c r="L76">
        <v>15.08</v>
      </c>
      <c r="M76">
        <v>0</v>
      </c>
      <c r="N76">
        <v>178.04</v>
      </c>
      <c r="O76">
        <v>16.472999999999999</v>
      </c>
      <c r="P76">
        <v>11.669</v>
      </c>
      <c r="Q76">
        <v>34.81</v>
      </c>
      <c r="R76">
        <v>65.19</v>
      </c>
      <c r="S76">
        <v>34.81</v>
      </c>
      <c r="T76">
        <v>556.70000000000005</v>
      </c>
      <c r="U76">
        <v>34.590000000000003</v>
      </c>
      <c r="V76">
        <v>19.8</v>
      </c>
      <c r="W76">
        <v>6.1</v>
      </c>
      <c r="X76">
        <v>8.6999999999999993</v>
      </c>
    </row>
    <row r="77" spans="1:25" x14ac:dyDescent="0.25">
      <c r="A77" t="s">
        <v>33</v>
      </c>
      <c r="B77" t="s">
        <v>34</v>
      </c>
      <c r="C77" t="s">
        <v>35</v>
      </c>
      <c r="D77">
        <v>2024</v>
      </c>
      <c r="E77">
        <v>26713206</v>
      </c>
      <c r="G77">
        <v>281.64</v>
      </c>
      <c r="H77">
        <v>281.64</v>
      </c>
      <c r="I77">
        <v>50.21</v>
      </c>
      <c r="J77">
        <v>32.74</v>
      </c>
      <c r="K77">
        <v>98.79</v>
      </c>
      <c r="L77">
        <v>12.85</v>
      </c>
      <c r="M77">
        <v>0</v>
      </c>
      <c r="N77">
        <v>182.85</v>
      </c>
      <c r="O77">
        <v>17.827999999999999</v>
      </c>
      <c r="P77">
        <v>11.625</v>
      </c>
      <c r="Q77">
        <v>35.076999999999998</v>
      </c>
      <c r="R77">
        <v>64.923000000000002</v>
      </c>
      <c r="S77">
        <v>35.076999999999998</v>
      </c>
      <c r="T77">
        <v>553.83000000000004</v>
      </c>
      <c r="U77">
        <v>37.33</v>
      </c>
      <c r="V77">
        <v>11.6</v>
      </c>
      <c r="W77">
        <v>2.7</v>
      </c>
      <c r="X77">
        <v>3.9</v>
      </c>
    </row>
    <row r="78" spans="1:25" x14ac:dyDescent="0.25">
      <c r="A78" t="s">
        <v>33</v>
      </c>
      <c r="B78" t="s">
        <v>34</v>
      </c>
      <c r="C78" t="s">
        <v>35</v>
      </c>
      <c r="D78">
        <v>2025</v>
      </c>
      <c r="E78">
        <v>26974024</v>
      </c>
      <c r="G78">
        <v>286.33999999999997</v>
      </c>
      <c r="H78">
        <v>286.33999999999997</v>
      </c>
      <c r="I78">
        <v>56.09</v>
      </c>
      <c r="J78">
        <v>39.229999999999997</v>
      </c>
      <c r="K78">
        <v>110.58</v>
      </c>
      <c r="L78">
        <v>12.22</v>
      </c>
      <c r="N78">
        <v>175.76</v>
      </c>
      <c r="O78">
        <v>19.588999999999999</v>
      </c>
      <c r="P78">
        <v>13.7</v>
      </c>
      <c r="Q78">
        <v>38.618000000000002</v>
      </c>
      <c r="R78">
        <v>61.381999999999998</v>
      </c>
      <c r="S78">
        <v>38.618000000000002</v>
      </c>
      <c r="T78">
        <v>525.17999999999995</v>
      </c>
      <c r="U78">
        <v>42.89</v>
      </c>
      <c r="V78">
        <v>11.7</v>
      </c>
      <c r="W78">
        <v>19.8</v>
      </c>
      <c r="X78">
        <v>11.9</v>
      </c>
    </row>
    <row r="79" spans="1:25" x14ac:dyDescent="0.25">
      <c r="A79" t="s">
        <v>37</v>
      </c>
      <c r="B79" t="s">
        <v>38</v>
      </c>
      <c r="C79" t="s">
        <v>35</v>
      </c>
      <c r="D79">
        <v>2000</v>
      </c>
      <c r="E79">
        <v>8012929</v>
      </c>
      <c r="F79">
        <v>280410163017</v>
      </c>
      <c r="G79">
        <v>59.64</v>
      </c>
      <c r="H79">
        <v>58.27</v>
      </c>
      <c r="I79">
        <v>0</v>
      </c>
      <c r="J79">
        <v>7.0000000000000007E-2</v>
      </c>
      <c r="K79">
        <v>43.44</v>
      </c>
      <c r="L79">
        <v>41.84</v>
      </c>
      <c r="M79">
        <v>0</v>
      </c>
      <c r="N79">
        <v>16.2</v>
      </c>
      <c r="O79">
        <v>0</v>
      </c>
      <c r="P79">
        <v>0.11700000000000001</v>
      </c>
      <c r="Q79">
        <v>72.837000000000003</v>
      </c>
      <c r="R79">
        <v>27.163</v>
      </c>
      <c r="S79">
        <v>72.837000000000003</v>
      </c>
      <c r="T79">
        <v>203.39</v>
      </c>
      <c r="U79">
        <v>0.03</v>
      </c>
    </row>
    <row r="80" spans="1:25" x14ac:dyDescent="0.25">
      <c r="A80" t="s">
        <v>37</v>
      </c>
      <c r="B80" t="s">
        <v>38</v>
      </c>
      <c r="C80" t="s">
        <v>35</v>
      </c>
      <c r="D80">
        <v>2001</v>
      </c>
      <c r="E80">
        <v>8042233</v>
      </c>
      <c r="F80">
        <v>285335695766</v>
      </c>
      <c r="G80">
        <v>60.98</v>
      </c>
      <c r="H80">
        <v>61.2</v>
      </c>
      <c r="I80">
        <v>0.01</v>
      </c>
      <c r="J80">
        <v>0.1</v>
      </c>
      <c r="K80">
        <v>42.24</v>
      </c>
      <c r="L80">
        <v>40.46</v>
      </c>
      <c r="M80">
        <v>0</v>
      </c>
      <c r="N80">
        <v>18.739999999999998</v>
      </c>
      <c r="O80">
        <v>1.6E-2</v>
      </c>
      <c r="P80">
        <v>0.16400000000000001</v>
      </c>
      <c r="Q80">
        <v>69.269000000000005</v>
      </c>
      <c r="R80">
        <v>30.731000000000002</v>
      </c>
      <c r="S80">
        <v>69.269000000000005</v>
      </c>
      <c r="T80">
        <v>229.09</v>
      </c>
      <c r="U80">
        <v>0.05</v>
      </c>
      <c r="W80">
        <v>42.9</v>
      </c>
      <c r="X80">
        <v>-2.8</v>
      </c>
    </row>
    <row r="81" spans="1:24" x14ac:dyDescent="0.25">
      <c r="A81" t="s">
        <v>37</v>
      </c>
      <c r="B81" t="s">
        <v>38</v>
      </c>
      <c r="C81" t="s">
        <v>35</v>
      </c>
      <c r="D81">
        <v>2002</v>
      </c>
      <c r="E81">
        <v>8081640</v>
      </c>
      <c r="F81">
        <v>291231427735</v>
      </c>
      <c r="G81">
        <v>60.63</v>
      </c>
      <c r="H81">
        <v>61.33</v>
      </c>
      <c r="I81">
        <v>0.01</v>
      </c>
      <c r="J81">
        <v>0.14000000000000001</v>
      </c>
      <c r="K81">
        <v>41.9</v>
      </c>
      <c r="L81">
        <v>40.229999999999997</v>
      </c>
      <c r="M81">
        <v>0</v>
      </c>
      <c r="N81">
        <v>18.73</v>
      </c>
      <c r="O81">
        <v>1.6E-2</v>
      </c>
      <c r="P81">
        <v>0.23100000000000001</v>
      </c>
      <c r="Q81">
        <v>69.108000000000004</v>
      </c>
      <c r="R81">
        <v>30.891999999999999</v>
      </c>
      <c r="S81">
        <v>69.108000000000004</v>
      </c>
      <c r="T81">
        <v>226.13</v>
      </c>
      <c r="U81">
        <v>7.0000000000000007E-2</v>
      </c>
      <c r="V81">
        <v>0</v>
      </c>
      <c r="W81">
        <v>40</v>
      </c>
      <c r="X81">
        <v>-0.8</v>
      </c>
    </row>
    <row r="82" spans="1:24" x14ac:dyDescent="0.25">
      <c r="A82" t="s">
        <v>37</v>
      </c>
      <c r="B82" t="s">
        <v>38</v>
      </c>
      <c r="C82" t="s">
        <v>35</v>
      </c>
      <c r="D82">
        <v>2003</v>
      </c>
      <c r="E82">
        <v>8122604</v>
      </c>
      <c r="F82">
        <v>294489280951</v>
      </c>
      <c r="G82">
        <v>57.97</v>
      </c>
      <c r="H82">
        <v>63.58</v>
      </c>
      <c r="I82">
        <v>0.01</v>
      </c>
      <c r="J82">
        <v>0.37</v>
      </c>
      <c r="K82">
        <v>35.24</v>
      </c>
      <c r="L82">
        <v>33.21</v>
      </c>
      <c r="M82">
        <v>0</v>
      </c>
      <c r="N82">
        <v>22.73</v>
      </c>
      <c r="O82">
        <v>1.7000000000000001E-2</v>
      </c>
      <c r="P82">
        <v>0.63800000000000001</v>
      </c>
      <c r="Q82">
        <v>60.79</v>
      </c>
      <c r="R82">
        <v>39.21</v>
      </c>
      <c r="S82">
        <v>60.79</v>
      </c>
      <c r="T82">
        <v>282.39</v>
      </c>
      <c r="U82">
        <v>0.17</v>
      </c>
      <c r="V82">
        <v>0</v>
      </c>
      <c r="W82">
        <v>164.3</v>
      </c>
      <c r="X82">
        <v>-15.9</v>
      </c>
    </row>
    <row r="83" spans="1:24" x14ac:dyDescent="0.25">
      <c r="A83" t="s">
        <v>37</v>
      </c>
      <c r="B83" t="s">
        <v>38</v>
      </c>
      <c r="C83" t="s">
        <v>35</v>
      </c>
      <c r="D83">
        <v>2004</v>
      </c>
      <c r="E83">
        <v>8173496</v>
      </c>
      <c r="F83">
        <v>303692479841</v>
      </c>
      <c r="G83">
        <v>61.85</v>
      </c>
      <c r="H83">
        <v>64.930000000000007</v>
      </c>
      <c r="I83">
        <v>0.02</v>
      </c>
      <c r="J83">
        <v>0.93</v>
      </c>
      <c r="K83">
        <v>39.619999999999997</v>
      </c>
      <c r="L83">
        <v>36.76</v>
      </c>
      <c r="M83">
        <v>0</v>
      </c>
      <c r="N83">
        <v>22.23</v>
      </c>
      <c r="O83">
        <v>3.2000000000000001E-2</v>
      </c>
      <c r="P83">
        <v>1.504</v>
      </c>
      <c r="Q83">
        <v>64.058000000000007</v>
      </c>
      <c r="R83">
        <v>35.942</v>
      </c>
      <c r="S83">
        <v>64.058000000000007</v>
      </c>
      <c r="T83">
        <v>259.33999999999997</v>
      </c>
      <c r="U83">
        <v>0.43</v>
      </c>
      <c r="V83">
        <v>100</v>
      </c>
      <c r="W83">
        <v>151.4</v>
      </c>
      <c r="X83">
        <v>12.4</v>
      </c>
    </row>
    <row r="84" spans="1:24" x14ac:dyDescent="0.25">
      <c r="A84" t="s">
        <v>37</v>
      </c>
      <c r="B84" t="s">
        <v>38</v>
      </c>
      <c r="C84" t="s">
        <v>35</v>
      </c>
      <c r="D84">
        <v>2005</v>
      </c>
      <c r="E84">
        <v>8229204</v>
      </c>
      <c r="F84">
        <v>311441138652</v>
      </c>
      <c r="G84">
        <v>64.37</v>
      </c>
      <c r="H84">
        <v>66.989999999999995</v>
      </c>
      <c r="I84">
        <v>0.02</v>
      </c>
      <c r="J84">
        <v>1.33</v>
      </c>
      <c r="K84">
        <v>40.880000000000003</v>
      </c>
      <c r="L84">
        <v>37.1</v>
      </c>
      <c r="M84">
        <v>0</v>
      </c>
      <c r="N84">
        <v>23.49</v>
      </c>
      <c r="O84">
        <v>3.1E-2</v>
      </c>
      <c r="P84">
        <v>2.0659999999999998</v>
      </c>
      <c r="Q84">
        <v>63.508000000000003</v>
      </c>
      <c r="R84">
        <v>36.491999999999997</v>
      </c>
      <c r="S84">
        <v>63.508000000000003</v>
      </c>
      <c r="T84">
        <v>254</v>
      </c>
      <c r="U84">
        <v>0.61</v>
      </c>
      <c r="V84">
        <v>0</v>
      </c>
      <c r="W84">
        <v>43</v>
      </c>
      <c r="X84">
        <v>3.2</v>
      </c>
    </row>
    <row r="85" spans="1:24" x14ac:dyDescent="0.25">
      <c r="A85" t="s">
        <v>37</v>
      </c>
      <c r="B85" t="s">
        <v>38</v>
      </c>
      <c r="C85" t="s">
        <v>35</v>
      </c>
      <c r="D85">
        <v>2006</v>
      </c>
      <c r="E85">
        <v>8269901</v>
      </c>
      <c r="F85">
        <v>323236897651</v>
      </c>
      <c r="G85">
        <v>62.21</v>
      </c>
      <c r="H85">
        <v>68.55</v>
      </c>
      <c r="I85">
        <v>0.02</v>
      </c>
      <c r="J85">
        <v>1.75</v>
      </c>
      <c r="K85">
        <v>40.659999999999997</v>
      </c>
      <c r="L85">
        <v>35.659999999999997</v>
      </c>
      <c r="M85">
        <v>0</v>
      </c>
      <c r="N85">
        <v>21.55</v>
      </c>
      <c r="O85">
        <v>3.2000000000000001E-2</v>
      </c>
      <c r="P85">
        <v>2.8130000000000002</v>
      </c>
      <c r="Q85">
        <v>65.358999999999995</v>
      </c>
      <c r="R85">
        <v>34.640999999999998</v>
      </c>
      <c r="S85">
        <v>65.358999999999995</v>
      </c>
      <c r="T85">
        <v>253.01</v>
      </c>
      <c r="U85">
        <v>0.8</v>
      </c>
      <c r="V85">
        <v>0</v>
      </c>
      <c r="W85">
        <v>31.6</v>
      </c>
      <c r="X85">
        <v>-0.5</v>
      </c>
    </row>
    <row r="86" spans="1:24" x14ac:dyDescent="0.25">
      <c r="A86" t="s">
        <v>37</v>
      </c>
      <c r="B86" t="s">
        <v>38</v>
      </c>
      <c r="C86" t="s">
        <v>35</v>
      </c>
      <c r="D86">
        <v>2007</v>
      </c>
      <c r="E86">
        <v>8296948</v>
      </c>
      <c r="F86">
        <v>336303973991</v>
      </c>
      <c r="G86">
        <v>62.83</v>
      </c>
      <c r="H86">
        <v>68.849999999999994</v>
      </c>
      <c r="I86">
        <v>0.02</v>
      </c>
      <c r="J86">
        <v>2.04</v>
      </c>
      <c r="K86">
        <v>43.17</v>
      </c>
      <c r="L86">
        <v>37.049999999999997</v>
      </c>
      <c r="M86">
        <v>0</v>
      </c>
      <c r="N86">
        <v>19.66</v>
      </c>
      <c r="O86">
        <v>3.2000000000000001E-2</v>
      </c>
      <c r="P86">
        <v>3.2469999999999999</v>
      </c>
      <c r="Q86">
        <v>68.709000000000003</v>
      </c>
      <c r="R86">
        <v>31.291</v>
      </c>
      <c r="S86">
        <v>68.709000000000003</v>
      </c>
      <c r="T86">
        <v>232.69</v>
      </c>
      <c r="U86">
        <v>0.93</v>
      </c>
      <c r="V86">
        <v>0</v>
      </c>
      <c r="W86">
        <v>16.600000000000001</v>
      </c>
      <c r="X86">
        <v>6.2</v>
      </c>
    </row>
    <row r="87" spans="1:24" x14ac:dyDescent="0.25">
      <c r="A87" t="s">
        <v>37</v>
      </c>
      <c r="B87" t="s">
        <v>38</v>
      </c>
      <c r="C87" t="s">
        <v>35</v>
      </c>
      <c r="D87">
        <v>2008</v>
      </c>
      <c r="E87">
        <v>8323250</v>
      </c>
      <c r="F87">
        <v>342892519161</v>
      </c>
      <c r="G87">
        <v>64.38</v>
      </c>
      <c r="H87">
        <v>69.239999999999995</v>
      </c>
      <c r="I87">
        <v>0.03</v>
      </c>
      <c r="J87">
        <v>2.0099999999999998</v>
      </c>
      <c r="K87">
        <v>44.53</v>
      </c>
      <c r="L87">
        <v>38.33</v>
      </c>
      <c r="M87">
        <v>0</v>
      </c>
      <c r="N87">
        <v>19.850000000000001</v>
      </c>
      <c r="O87">
        <v>4.7E-2</v>
      </c>
      <c r="P87">
        <v>3.1219999999999999</v>
      </c>
      <c r="Q87">
        <v>69.167000000000002</v>
      </c>
      <c r="R87">
        <v>30.832999999999998</v>
      </c>
      <c r="S87">
        <v>69.167000000000002</v>
      </c>
      <c r="T87">
        <v>220.41</v>
      </c>
      <c r="U87">
        <v>0.92</v>
      </c>
      <c r="V87">
        <v>50</v>
      </c>
      <c r="W87">
        <v>-1.5</v>
      </c>
      <c r="X87">
        <v>3.2</v>
      </c>
    </row>
    <row r="88" spans="1:24" x14ac:dyDescent="0.25">
      <c r="A88" t="s">
        <v>37</v>
      </c>
      <c r="B88" t="s">
        <v>38</v>
      </c>
      <c r="C88" t="s">
        <v>35</v>
      </c>
      <c r="D88">
        <v>2009</v>
      </c>
      <c r="E88">
        <v>8345073</v>
      </c>
      <c r="F88">
        <v>331119036991</v>
      </c>
      <c r="G88">
        <v>66.209999999999994</v>
      </c>
      <c r="H88">
        <v>66.989999999999995</v>
      </c>
      <c r="I88">
        <v>0.05</v>
      </c>
      <c r="J88">
        <v>1.95</v>
      </c>
      <c r="K88">
        <v>47.18</v>
      </c>
      <c r="L88">
        <v>40.9</v>
      </c>
      <c r="M88">
        <v>0</v>
      </c>
      <c r="N88">
        <v>19.03</v>
      </c>
      <c r="O88">
        <v>7.5999999999999998E-2</v>
      </c>
      <c r="P88">
        <v>2.9449999999999998</v>
      </c>
      <c r="Q88">
        <v>71.257999999999996</v>
      </c>
      <c r="R88">
        <v>28.742000000000001</v>
      </c>
      <c r="S88">
        <v>71.257999999999996</v>
      </c>
      <c r="T88">
        <v>195.89</v>
      </c>
      <c r="U88">
        <v>0.9</v>
      </c>
      <c r="V88">
        <v>66.7</v>
      </c>
      <c r="W88">
        <v>-3</v>
      </c>
      <c r="X88">
        <v>6</v>
      </c>
    </row>
    <row r="89" spans="1:24" x14ac:dyDescent="0.25">
      <c r="A89" t="s">
        <v>37</v>
      </c>
      <c r="B89" t="s">
        <v>38</v>
      </c>
      <c r="C89" t="s">
        <v>35</v>
      </c>
      <c r="D89">
        <v>2010</v>
      </c>
      <c r="E89">
        <v>8365087</v>
      </c>
      <c r="F89">
        <v>338832243101</v>
      </c>
      <c r="G89">
        <v>67.819999999999993</v>
      </c>
      <c r="H89">
        <v>70.260000000000005</v>
      </c>
      <c r="I89">
        <v>0.09</v>
      </c>
      <c r="J89">
        <v>2.06</v>
      </c>
      <c r="K89">
        <v>44.99</v>
      </c>
      <c r="L89">
        <v>38.36</v>
      </c>
      <c r="M89">
        <v>0</v>
      </c>
      <c r="N89">
        <v>22.83</v>
      </c>
      <c r="O89">
        <v>0.13300000000000001</v>
      </c>
      <c r="P89">
        <v>3.0369999999999999</v>
      </c>
      <c r="Q89">
        <v>66.337000000000003</v>
      </c>
      <c r="R89">
        <v>33.662999999999997</v>
      </c>
      <c r="S89">
        <v>66.337000000000003</v>
      </c>
      <c r="T89">
        <v>226.78</v>
      </c>
      <c r="U89">
        <v>0.97</v>
      </c>
      <c r="V89">
        <v>80</v>
      </c>
      <c r="W89">
        <v>5.6</v>
      </c>
      <c r="X89">
        <v>-4.5999999999999996</v>
      </c>
    </row>
    <row r="90" spans="1:24" x14ac:dyDescent="0.25">
      <c r="A90" t="s">
        <v>37</v>
      </c>
      <c r="B90" t="s">
        <v>38</v>
      </c>
      <c r="C90" t="s">
        <v>35</v>
      </c>
      <c r="D90">
        <v>2011</v>
      </c>
      <c r="E90">
        <v>8393272</v>
      </c>
      <c r="F90">
        <v>349713455451</v>
      </c>
      <c r="G90">
        <v>62.2</v>
      </c>
      <c r="H90">
        <v>70.400000000000006</v>
      </c>
      <c r="I90">
        <v>0.17</v>
      </c>
      <c r="J90">
        <v>1.94</v>
      </c>
      <c r="K90">
        <v>40.909999999999997</v>
      </c>
      <c r="L90">
        <v>34.24</v>
      </c>
      <c r="M90">
        <v>0</v>
      </c>
      <c r="N90">
        <v>21.29</v>
      </c>
      <c r="O90">
        <v>0.27300000000000002</v>
      </c>
      <c r="P90">
        <v>3.1190000000000002</v>
      </c>
      <c r="Q90">
        <v>65.772000000000006</v>
      </c>
      <c r="R90">
        <v>34.228000000000002</v>
      </c>
      <c r="S90">
        <v>65.772000000000006</v>
      </c>
      <c r="T90">
        <v>238.59</v>
      </c>
      <c r="U90">
        <v>0.95</v>
      </c>
      <c r="V90">
        <v>88.9</v>
      </c>
      <c r="W90">
        <v>-5.8</v>
      </c>
      <c r="X90">
        <v>-9.1</v>
      </c>
    </row>
    <row r="91" spans="1:24" x14ac:dyDescent="0.25">
      <c r="A91" t="s">
        <v>37</v>
      </c>
      <c r="B91" t="s">
        <v>38</v>
      </c>
      <c r="C91" t="s">
        <v>35</v>
      </c>
      <c r="D91">
        <v>2012</v>
      </c>
      <c r="E91">
        <v>8431599</v>
      </c>
      <c r="F91">
        <v>352093108730</v>
      </c>
      <c r="G91">
        <v>68.650000000000006</v>
      </c>
      <c r="H91">
        <v>71.45</v>
      </c>
      <c r="I91">
        <v>0.34</v>
      </c>
      <c r="J91">
        <v>2.46</v>
      </c>
      <c r="K91">
        <v>51.33</v>
      </c>
      <c r="L91">
        <v>43.85</v>
      </c>
      <c r="M91">
        <v>0</v>
      </c>
      <c r="N91">
        <v>17.32</v>
      </c>
      <c r="O91">
        <v>0.495</v>
      </c>
      <c r="P91">
        <v>3.5830000000000002</v>
      </c>
      <c r="Q91">
        <v>74.771000000000001</v>
      </c>
      <c r="R91">
        <v>25.228999999999999</v>
      </c>
      <c r="S91">
        <v>74.771000000000001</v>
      </c>
      <c r="T91">
        <v>185.87</v>
      </c>
      <c r="U91">
        <v>1.26</v>
      </c>
      <c r="V91">
        <v>100</v>
      </c>
      <c r="W91">
        <v>26.8</v>
      </c>
      <c r="X91">
        <v>25.5</v>
      </c>
    </row>
    <row r="92" spans="1:24" x14ac:dyDescent="0.25">
      <c r="A92" t="s">
        <v>37</v>
      </c>
      <c r="B92" t="s">
        <v>38</v>
      </c>
      <c r="C92" t="s">
        <v>35</v>
      </c>
      <c r="D92">
        <v>2013</v>
      </c>
      <c r="E92">
        <v>8481411</v>
      </c>
      <c r="F92">
        <v>352182904722</v>
      </c>
      <c r="G92">
        <v>64.55</v>
      </c>
      <c r="H92">
        <v>71.819999999999993</v>
      </c>
      <c r="I92">
        <v>0.63</v>
      </c>
      <c r="J92">
        <v>3.15</v>
      </c>
      <c r="K92">
        <v>50.5</v>
      </c>
      <c r="L92">
        <v>42.02</v>
      </c>
      <c r="M92">
        <v>0</v>
      </c>
      <c r="N92">
        <v>14.05</v>
      </c>
      <c r="O92">
        <v>0.97599999999999998</v>
      </c>
      <c r="P92">
        <v>4.88</v>
      </c>
      <c r="Q92">
        <v>78.233999999999995</v>
      </c>
      <c r="R92">
        <v>21.765999999999998</v>
      </c>
      <c r="S92">
        <v>78.233999999999995</v>
      </c>
      <c r="T92">
        <v>173.35</v>
      </c>
      <c r="U92">
        <v>1.7</v>
      </c>
      <c r="V92">
        <v>85.3</v>
      </c>
      <c r="W92">
        <v>28</v>
      </c>
      <c r="X92">
        <v>-1.6</v>
      </c>
    </row>
    <row r="93" spans="1:24" x14ac:dyDescent="0.25">
      <c r="A93" t="s">
        <v>37</v>
      </c>
      <c r="B93" t="s">
        <v>38</v>
      </c>
      <c r="C93" t="s">
        <v>35</v>
      </c>
      <c r="D93">
        <v>2014</v>
      </c>
      <c r="E93">
        <v>8547812</v>
      </c>
      <c r="F93">
        <v>354511819035</v>
      </c>
      <c r="G93">
        <v>61.55</v>
      </c>
      <c r="H93">
        <v>70.819999999999993</v>
      </c>
      <c r="I93">
        <v>0.79</v>
      </c>
      <c r="J93">
        <v>3.85</v>
      </c>
      <c r="K93">
        <v>50.2</v>
      </c>
      <c r="L93">
        <v>41.01</v>
      </c>
      <c r="M93">
        <v>0</v>
      </c>
      <c r="N93">
        <v>11.35</v>
      </c>
      <c r="O93">
        <v>1.284</v>
      </c>
      <c r="P93">
        <v>6.2549999999999999</v>
      </c>
      <c r="Q93">
        <v>81.56</v>
      </c>
      <c r="R93">
        <v>18.440000000000001</v>
      </c>
      <c r="S93">
        <v>81.56</v>
      </c>
      <c r="T93">
        <v>150.44999999999999</v>
      </c>
      <c r="U93">
        <v>2.09</v>
      </c>
      <c r="V93">
        <v>25.4</v>
      </c>
      <c r="W93">
        <v>22.2</v>
      </c>
      <c r="X93">
        <v>-0.6</v>
      </c>
    </row>
    <row r="94" spans="1:24" x14ac:dyDescent="0.25">
      <c r="A94" t="s">
        <v>37</v>
      </c>
      <c r="B94" t="s">
        <v>38</v>
      </c>
      <c r="C94" t="s">
        <v>35</v>
      </c>
      <c r="D94">
        <v>2015</v>
      </c>
      <c r="E94">
        <v>8644037</v>
      </c>
      <c r="F94">
        <v>358108266932</v>
      </c>
      <c r="G94">
        <v>61.78</v>
      </c>
      <c r="H94">
        <v>71.84</v>
      </c>
      <c r="I94">
        <v>0.94</v>
      </c>
      <c r="J94">
        <v>4.84</v>
      </c>
      <c r="K94">
        <v>47.59</v>
      </c>
      <c r="L94">
        <v>37.159999999999997</v>
      </c>
      <c r="M94">
        <v>0</v>
      </c>
      <c r="N94">
        <v>14.19</v>
      </c>
      <c r="O94">
        <v>1.522</v>
      </c>
      <c r="P94">
        <v>7.8339999999999996</v>
      </c>
      <c r="Q94">
        <v>77.031000000000006</v>
      </c>
      <c r="R94">
        <v>22.969000000000001</v>
      </c>
      <c r="S94">
        <v>77.031000000000006</v>
      </c>
      <c r="T94">
        <v>172.06</v>
      </c>
      <c r="U94">
        <v>2.6</v>
      </c>
      <c r="V94">
        <v>19</v>
      </c>
      <c r="W94">
        <v>25.7</v>
      </c>
      <c r="X94">
        <v>-5.2</v>
      </c>
    </row>
    <row r="95" spans="1:24" x14ac:dyDescent="0.25">
      <c r="A95" t="s">
        <v>37</v>
      </c>
      <c r="B95" t="s">
        <v>38</v>
      </c>
      <c r="C95" t="s">
        <v>35</v>
      </c>
      <c r="D95">
        <v>2016</v>
      </c>
      <c r="E95">
        <v>8737920</v>
      </c>
      <c r="F95">
        <v>365232738553</v>
      </c>
      <c r="G95">
        <v>64.87</v>
      </c>
      <c r="H95">
        <v>72.03</v>
      </c>
      <c r="I95">
        <v>1.1000000000000001</v>
      </c>
      <c r="J95">
        <v>5.23</v>
      </c>
      <c r="K95">
        <v>51.08</v>
      </c>
      <c r="L95">
        <v>39.97</v>
      </c>
      <c r="M95">
        <v>0</v>
      </c>
      <c r="N95">
        <v>13.79</v>
      </c>
      <c r="O95">
        <v>1.696</v>
      </c>
      <c r="P95">
        <v>8.0619999999999994</v>
      </c>
      <c r="Q95">
        <v>78.742000000000004</v>
      </c>
      <c r="R95">
        <v>21.257999999999999</v>
      </c>
      <c r="S95">
        <v>78.742000000000004</v>
      </c>
      <c r="T95">
        <v>154.62</v>
      </c>
      <c r="U95">
        <v>2.85</v>
      </c>
      <c r="V95">
        <v>17</v>
      </c>
      <c r="W95">
        <v>8.1</v>
      </c>
      <c r="X95">
        <v>7.3</v>
      </c>
    </row>
    <row r="96" spans="1:24" x14ac:dyDescent="0.25">
      <c r="A96" t="s">
        <v>37</v>
      </c>
      <c r="B96" t="s">
        <v>38</v>
      </c>
      <c r="C96" t="s">
        <v>35</v>
      </c>
      <c r="D96">
        <v>2017</v>
      </c>
      <c r="E96">
        <v>8798779</v>
      </c>
      <c r="F96">
        <v>373481694490</v>
      </c>
      <c r="G96">
        <v>67.09</v>
      </c>
      <c r="H96">
        <v>73.64</v>
      </c>
      <c r="I96">
        <v>1.27</v>
      </c>
      <c r="J96">
        <v>6.57</v>
      </c>
      <c r="K96">
        <v>51.05</v>
      </c>
      <c r="L96">
        <v>38.29</v>
      </c>
      <c r="M96">
        <v>0</v>
      </c>
      <c r="N96">
        <v>16.04</v>
      </c>
      <c r="O96">
        <v>1.893</v>
      </c>
      <c r="P96">
        <v>9.7929999999999993</v>
      </c>
      <c r="Q96">
        <v>76.091999999999999</v>
      </c>
      <c r="R96">
        <v>23.908000000000001</v>
      </c>
      <c r="S96">
        <v>76.091999999999999</v>
      </c>
      <c r="T96">
        <v>162.91999999999999</v>
      </c>
      <c r="U96">
        <v>3.53</v>
      </c>
      <c r="V96">
        <v>15.5</v>
      </c>
      <c r="W96">
        <v>25.6</v>
      </c>
      <c r="X96">
        <v>-0.1</v>
      </c>
    </row>
    <row r="97" spans="1:25" x14ac:dyDescent="0.25">
      <c r="A97" t="s">
        <v>37</v>
      </c>
      <c r="B97" t="s">
        <v>38</v>
      </c>
      <c r="C97" t="s">
        <v>35</v>
      </c>
      <c r="D97">
        <v>2018</v>
      </c>
      <c r="E97">
        <v>8841653</v>
      </c>
      <c r="F97">
        <v>382540042762</v>
      </c>
      <c r="G97">
        <v>64.67</v>
      </c>
      <c r="H97">
        <v>73.62</v>
      </c>
      <c r="I97">
        <v>1.46</v>
      </c>
      <c r="J97">
        <v>6.03</v>
      </c>
      <c r="K97">
        <v>50.06</v>
      </c>
      <c r="L97">
        <v>37.64</v>
      </c>
      <c r="M97">
        <v>0</v>
      </c>
      <c r="N97">
        <v>14.61</v>
      </c>
      <c r="O97">
        <v>2.258</v>
      </c>
      <c r="P97">
        <v>9.3239999999999998</v>
      </c>
      <c r="Q97">
        <v>77.408000000000001</v>
      </c>
      <c r="R97">
        <v>22.591999999999999</v>
      </c>
      <c r="S97">
        <v>77.408000000000001</v>
      </c>
      <c r="T97">
        <v>157.88</v>
      </c>
      <c r="U97">
        <v>3.37</v>
      </c>
      <c r="V97">
        <v>15</v>
      </c>
      <c r="W97">
        <v>-8.1999999999999993</v>
      </c>
      <c r="X97">
        <v>-1.9</v>
      </c>
    </row>
    <row r="98" spans="1:25" x14ac:dyDescent="0.25">
      <c r="A98" t="s">
        <v>37</v>
      </c>
      <c r="B98" t="s">
        <v>38</v>
      </c>
      <c r="C98" t="s">
        <v>35</v>
      </c>
      <c r="D98">
        <v>2019</v>
      </c>
      <c r="E98">
        <v>8880876</v>
      </c>
      <c r="F98">
        <v>388344674039</v>
      </c>
      <c r="G98">
        <v>70.69</v>
      </c>
      <c r="H98">
        <v>73.819999999999993</v>
      </c>
      <c r="I98">
        <v>1.7</v>
      </c>
      <c r="J98">
        <v>7.45</v>
      </c>
      <c r="K98">
        <v>54.64</v>
      </c>
      <c r="L98">
        <v>40.83</v>
      </c>
      <c r="M98">
        <v>0</v>
      </c>
      <c r="N98">
        <v>16.05</v>
      </c>
      <c r="O98">
        <v>2.4049999999999998</v>
      </c>
      <c r="P98">
        <v>10.539</v>
      </c>
      <c r="Q98">
        <v>77.295000000000002</v>
      </c>
      <c r="R98">
        <v>22.704999999999998</v>
      </c>
      <c r="S98">
        <v>77.295000000000002</v>
      </c>
      <c r="T98">
        <v>152.78</v>
      </c>
      <c r="U98">
        <v>4.12</v>
      </c>
      <c r="V98">
        <v>16.399999999999999</v>
      </c>
      <c r="W98">
        <v>23.5</v>
      </c>
      <c r="X98">
        <v>9.1</v>
      </c>
    </row>
    <row r="99" spans="1:25" x14ac:dyDescent="0.25">
      <c r="A99" t="s">
        <v>37</v>
      </c>
      <c r="B99" t="s">
        <v>38</v>
      </c>
      <c r="C99" t="s">
        <v>35</v>
      </c>
      <c r="D99">
        <v>2020</v>
      </c>
      <c r="E99">
        <v>8921402</v>
      </c>
      <c r="F99">
        <v>363281092036</v>
      </c>
      <c r="G99">
        <v>69.03</v>
      </c>
      <c r="H99">
        <v>71.23</v>
      </c>
      <c r="I99">
        <v>2.04</v>
      </c>
      <c r="J99">
        <v>6.79</v>
      </c>
      <c r="K99">
        <v>55.42</v>
      </c>
      <c r="L99">
        <v>42</v>
      </c>
      <c r="M99">
        <v>0</v>
      </c>
      <c r="N99">
        <v>13.61</v>
      </c>
      <c r="O99">
        <v>2.9550000000000001</v>
      </c>
      <c r="P99">
        <v>9.8360000000000003</v>
      </c>
      <c r="Q99">
        <v>80.284000000000006</v>
      </c>
      <c r="R99">
        <v>19.716000000000001</v>
      </c>
      <c r="S99">
        <v>80.284000000000006</v>
      </c>
      <c r="T99">
        <v>133.28</v>
      </c>
      <c r="U99">
        <v>3.97</v>
      </c>
      <c r="V99">
        <v>20</v>
      </c>
      <c r="W99">
        <v>-8.9</v>
      </c>
      <c r="X99">
        <v>1.4</v>
      </c>
      <c r="Y99" t="s">
        <v>39</v>
      </c>
    </row>
    <row r="100" spans="1:25" x14ac:dyDescent="0.25">
      <c r="A100" t="s">
        <v>37</v>
      </c>
      <c r="B100" t="s">
        <v>38</v>
      </c>
      <c r="C100" t="s">
        <v>35</v>
      </c>
      <c r="D100">
        <v>2021</v>
      </c>
      <c r="E100">
        <v>8967053</v>
      </c>
      <c r="F100">
        <v>379835198584</v>
      </c>
      <c r="G100">
        <v>66.67</v>
      </c>
      <c r="H100">
        <v>74.209999999999994</v>
      </c>
      <c r="I100">
        <v>2.78</v>
      </c>
      <c r="J100">
        <v>6.74</v>
      </c>
      <c r="K100">
        <v>52.75</v>
      </c>
      <c r="L100">
        <v>38.75</v>
      </c>
      <c r="M100">
        <v>0</v>
      </c>
      <c r="N100">
        <v>13.92</v>
      </c>
      <c r="O100">
        <v>4.17</v>
      </c>
      <c r="P100">
        <v>10.109</v>
      </c>
      <c r="Q100">
        <v>79.120999999999995</v>
      </c>
      <c r="R100">
        <v>20.879000000000001</v>
      </c>
      <c r="S100">
        <v>79.120999999999995</v>
      </c>
      <c r="T100">
        <v>135.29</v>
      </c>
      <c r="U100">
        <v>4.28</v>
      </c>
      <c r="V100">
        <v>36.299999999999997</v>
      </c>
      <c r="W100">
        <v>-0.7</v>
      </c>
      <c r="X100">
        <v>-4.8</v>
      </c>
    </row>
    <row r="101" spans="1:25" x14ac:dyDescent="0.25">
      <c r="A101" t="s">
        <v>37</v>
      </c>
      <c r="B101" t="s">
        <v>38</v>
      </c>
      <c r="C101" t="s">
        <v>35</v>
      </c>
      <c r="D101">
        <v>2022</v>
      </c>
      <c r="E101">
        <v>9064678</v>
      </c>
      <c r="F101">
        <v>398815419150</v>
      </c>
      <c r="G101">
        <v>64.47</v>
      </c>
      <c r="H101">
        <v>73.17</v>
      </c>
      <c r="I101">
        <v>3.79</v>
      </c>
      <c r="J101">
        <v>7.24</v>
      </c>
      <c r="K101">
        <v>50.41</v>
      </c>
      <c r="L101">
        <v>34.630000000000003</v>
      </c>
      <c r="M101">
        <v>0</v>
      </c>
      <c r="N101">
        <v>14.06</v>
      </c>
      <c r="O101">
        <v>5.8789999999999996</v>
      </c>
      <c r="P101">
        <v>11.23</v>
      </c>
      <c r="Q101">
        <v>78.191000000000003</v>
      </c>
      <c r="R101">
        <v>21.809000000000001</v>
      </c>
      <c r="S101">
        <v>78.191000000000003</v>
      </c>
      <c r="T101">
        <v>140.84</v>
      </c>
      <c r="U101">
        <v>4.96</v>
      </c>
      <c r="V101">
        <v>36.299999999999997</v>
      </c>
      <c r="W101">
        <v>7.4</v>
      </c>
      <c r="X101">
        <v>-4.4000000000000004</v>
      </c>
    </row>
    <row r="102" spans="1:25" x14ac:dyDescent="0.25">
      <c r="A102" t="s">
        <v>37</v>
      </c>
      <c r="B102" t="s">
        <v>38</v>
      </c>
      <c r="C102" t="s">
        <v>35</v>
      </c>
      <c r="D102">
        <v>2023</v>
      </c>
      <c r="E102">
        <v>9130434</v>
      </c>
      <c r="G102">
        <v>70.98</v>
      </c>
      <c r="H102">
        <v>70.91</v>
      </c>
      <c r="I102">
        <v>6.89</v>
      </c>
      <c r="J102">
        <v>8.0399999999999991</v>
      </c>
      <c r="K102">
        <v>60.16</v>
      </c>
      <c r="L102">
        <v>40.67</v>
      </c>
      <c r="M102">
        <v>0</v>
      </c>
      <c r="N102">
        <v>10.82</v>
      </c>
      <c r="O102">
        <v>9.7070000000000007</v>
      </c>
      <c r="P102">
        <v>11.327</v>
      </c>
      <c r="Q102">
        <v>84.756</v>
      </c>
      <c r="R102">
        <v>15.244</v>
      </c>
      <c r="S102">
        <v>84.756</v>
      </c>
      <c r="T102">
        <v>111.72</v>
      </c>
      <c r="U102">
        <v>6.72</v>
      </c>
      <c r="V102">
        <v>81.8</v>
      </c>
      <c r="W102">
        <v>11</v>
      </c>
      <c r="X102">
        <v>19.3</v>
      </c>
    </row>
    <row r="103" spans="1:25" x14ac:dyDescent="0.25">
      <c r="A103" t="s">
        <v>37</v>
      </c>
      <c r="B103" t="s">
        <v>38</v>
      </c>
      <c r="C103" t="s">
        <v>35</v>
      </c>
      <c r="D103">
        <v>2024</v>
      </c>
      <c r="E103">
        <v>9120815</v>
      </c>
      <c r="G103">
        <v>78.47</v>
      </c>
      <c r="H103">
        <v>71.69</v>
      </c>
      <c r="I103">
        <v>8.14</v>
      </c>
      <c r="J103">
        <v>9.14</v>
      </c>
      <c r="K103">
        <v>67.66</v>
      </c>
      <c r="L103">
        <v>45.71</v>
      </c>
      <c r="M103">
        <v>0</v>
      </c>
      <c r="N103">
        <v>10.81</v>
      </c>
      <c r="O103">
        <v>10.372999999999999</v>
      </c>
      <c r="P103">
        <v>11.648</v>
      </c>
      <c r="Q103">
        <v>86.224000000000004</v>
      </c>
      <c r="R103">
        <v>13.776</v>
      </c>
      <c r="S103">
        <v>86.224000000000004</v>
      </c>
      <c r="T103">
        <v>103.48</v>
      </c>
      <c r="U103">
        <v>7.78</v>
      </c>
      <c r="V103">
        <v>18.100000000000001</v>
      </c>
      <c r="W103">
        <v>13.7</v>
      </c>
      <c r="X103">
        <v>12.5</v>
      </c>
    </row>
    <row r="104" spans="1:25" x14ac:dyDescent="0.25">
      <c r="A104" t="s">
        <v>37</v>
      </c>
      <c r="B104" t="s">
        <v>38</v>
      </c>
      <c r="C104" t="s">
        <v>35</v>
      </c>
      <c r="D104">
        <v>2025</v>
      </c>
      <c r="E104">
        <v>9113578</v>
      </c>
      <c r="G104">
        <v>73.22</v>
      </c>
      <c r="H104">
        <v>75.84</v>
      </c>
      <c r="I104">
        <v>10.31</v>
      </c>
      <c r="J104">
        <v>8.31</v>
      </c>
      <c r="K104">
        <v>61.21</v>
      </c>
      <c r="L104">
        <v>37.93</v>
      </c>
      <c r="M104">
        <v>0</v>
      </c>
      <c r="N104">
        <v>12.01</v>
      </c>
      <c r="O104">
        <v>14.081</v>
      </c>
      <c r="P104">
        <v>11.349</v>
      </c>
      <c r="Q104">
        <v>83.596999999999994</v>
      </c>
      <c r="R104">
        <v>16.402999999999999</v>
      </c>
      <c r="S104">
        <v>83.596999999999994</v>
      </c>
      <c r="T104">
        <v>116.91</v>
      </c>
      <c r="U104">
        <v>8.3800000000000008</v>
      </c>
      <c r="V104">
        <v>26.7</v>
      </c>
      <c r="W104">
        <v>-9.1</v>
      </c>
      <c r="X104">
        <v>-9.5</v>
      </c>
    </row>
    <row r="105" spans="1:25" x14ac:dyDescent="0.25">
      <c r="A105" t="s">
        <v>40</v>
      </c>
      <c r="B105" t="s">
        <v>41</v>
      </c>
      <c r="C105" t="s">
        <v>27</v>
      </c>
      <c r="D105">
        <v>2000</v>
      </c>
      <c r="E105">
        <v>134544303</v>
      </c>
      <c r="F105">
        <v>200824294390</v>
      </c>
      <c r="G105">
        <v>15.94</v>
      </c>
      <c r="H105">
        <v>15.94</v>
      </c>
      <c r="I105">
        <v>0</v>
      </c>
      <c r="J105">
        <v>0</v>
      </c>
      <c r="K105">
        <v>0.94</v>
      </c>
      <c r="L105">
        <v>0.94</v>
      </c>
      <c r="M105">
        <v>0</v>
      </c>
      <c r="N105">
        <v>15</v>
      </c>
      <c r="O105">
        <v>0</v>
      </c>
      <c r="P105">
        <v>0</v>
      </c>
      <c r="Q105">
        <v>5.8970000000000002</v>
      </c>
      <c r="R105">
        <v>94.102999999999994</v>
      </c>
      <c r="S105">
        <v>5.8970000000000002</v>
      </c>
      <c r="T105">
        <v>645.54999999999995</v>
      </c>
      <c r="U105">
        <v>0</v>
      </c>
    </row>
    <row r="106" spans="1:25" x14ac:dyDescent="0.25">
      <c r="A106" t="s">
        <v>40</v>
      </c>
      <c r="B106" t="s">
        <v>41</v>
      </c>
      <c r="C106" t="s">
        <v>27</v>
      </c>
      <c r="D106">
        <v>2001</v>
      </c>
      <c r="E106">
        <v>136805810</v>
      </c>
      <c r="F106">
        <v>213164797419</v>
      </c>
      <c r="G106">
        <v>17.38</v>
      </c>
      <c r="H106">
        <v>17.38</v>
      </c>
      <c r="I106">
        <v>0</v>
      </c>
      <c r="J106">
        <v>0</v>
      </c>
      <c r="K106">
        <v>0.98</v>
      </c>
      <c r="L106">
        <v>0.98</v>
      </c>
      <c r="M106">
        <v>0</v>
      </c>
      <c r="N106">
        <v>16.399999999999999</v>
      </c>
      <c r="O106">
        <v>0</v>
      </c>
      <c r="P106">
        <v>0</v>
      </c>
      <c r="Q106">
        <v>5.6390000000000002</v>
      </c>
      <c r="R106">
        <v>94.361000000000004</v>
      </c>
      <c r="S106">
        <v>5.6390000000000002</v>
      </c>
      <c r="T106">
        <v>647.29999999999995</v>
      </c>
      <c r="U106">
        <v>0</v>
      </c>
      <c r="X106">
        <v>4.3</v>
      </c>
    </row>
    <row r="107" spans="1:25" x14ac:dyDescent="0.25">
      <c r="A107" t="s">
        <v>40</v>
      </c>
      <c r="B107" t="s">
        <v>41</v>
      </c>
      <c r="C107" t="s">
        <v>27</v>
      </c>
      <c r="D107">
        <v>2002</v>
      </c>
      <c r="E107">
        <v>138933659</v>
      </c>
      <c r="F107">
        <v>226285297151</v>
      </c>
      <c r="G107">
        <v>18.95</v>
      </c>
      <c r="H107">
        <v>18.95</v>
      </c>
      <c r="I107">
        <v>0</v>
      </c>
      <c r="J107">
        <v>0</v>
      </c>
      <c r="K107">
        <v>1.05</v>
      </c>
      <c r="L107">
        <v>1.05</v>
      </c>
      <c r="M107">
        <v>0</v>
      </c>
      <c r="N107">
        <v>17.899999999999999</v>
      </c>
      <c r="O107">
        <v>0</v>
      </c>
      <c r="P107">
        <v>0</v>
      </c>
      <c r="Q107">
        <v>5.5410000000000004</v>
      </c>
      <c r="R107">
        <v>94.459000000000003</v>
      </c>
      <c r="S107">
        <v>5.5410000000000004</v>
      </c>
      <c r="T107">
        <v>647.49</v>
      </c>
      <c r="U107">
        <v>0</v>
      </c>
      <c r="X107">
        <v>7.1</v>
      </c>
    </row>
    <row r="108" spans="1:25" x14ac:dyDescent="0.25">
      <c r="A108" t="s">
        <v>40</v>
      </c>
      <c r="B108" t="s">
        <v>41</v>
      </c>
      <c r="C108" t="s">
        <v>27</v>
      </c>
      <c r="D108">
        <v>2003</v>
      </c>
      <c r="E108">
        <v>140970355</v>
      </c>
      <c r="F108">
        <v>242325893842</v>
      </c>
      <c r="G108">
        <v>20.07</v>
      </c>
      <c r="H108">
        <v>20.07</v>
      </c>
      <c r="I108">
        <v>0</v>
      </c>
      <c r="J108">
        <v>0</v>
      </c>
      <c r="K108">
        <v>1.1200000000000001</v>
      </c>
      <c r="L108">
        <v>1.1200000000000001</v>
      </c>
      <c r="M108">
        <v>0</v>
      </c>
      <c r="N108">
        <v>18.95</v>
      </c>
      <c r="O108">
        <v>0</v>
      </c>
      <c r="P108">
        <v>0</v>
      </c>
      <c r="Q108">
        <v>5.58</v>
      </c>
      <c r="R108">
        <v>94.42</v>
      </c>
      <c r="S108">
        <v>5.58</v>
      </c>
      <c r="T108">
        <v>648.23</v>
      </c>
      <c r="U108">
        <v>0</v>
      </c>
      <c r="X108">
        <v>6.7</v>
      </c>
    </row>
    <row r="109" spans="1:25" x14ac:dyDescent="0.25">
      <c r="A109" t="s">
        <v>40</v>
      </c>
      <c r="B109" t="s">
        <v>41</v>
      </c>
      <c r="C109" t="s">
        <v>27</v>
      </c>
      <c r="D109">
        <v>2004</v>
      </c>
      <c r="E109">
        <v>142902857</v>
      </c>
      <c r="F109">
        <v>260372737862</v>
      </c>
      <c r="G109">
        <v>25.13</v>
      </c>
      <c r="H109">
        <v>25.13</v>
      </c>
      <c r="I109">
        <v>0</v>
      </c>
      <c r="J109">
        <v>0</v>
      </c>
      <c r="K109">
        <v>1.21</v>
      </c>
      <c r="L109">
        <v>1.21</v>
      </c>
      <c r="M109">
        <v>0</v>
      </c>
      <c r="N109">
        <v>23.92</v>
      </c>
      <c r="O109">
        <v>0</v>
      </c>
      <c r="P109">
        <v>0</v>
      </c>
      <c r="Q109">
        <v>4.8150000000000004</v>
      </c>
      <c r="R109">
        <v>95.185000000000002</v>
      </c>
      <c r="S109">
        <v>4.8150000000000004</v>
      </c>
      <c r="T109">
        <v>653</v>
      </c>
      <c r="U109">
        <v>0</v>
      </c>
      <c r="X109">
        <v>8</v>
      </c>
    </row>
    <row r="110" spans="1:25" x14ac:dyDescent="0.25">
      <c r="A110" t="s">
        <v>40</v>
      </c>
      <c r="B110" t="s">
        <v>41</v>
      </c>
      <c r="C110" t="s">
        <v>27</v>
      </c>
      <c r="D110">
        <v>2005</v>
      </c>
      <c r="E110">
        <v>144715789</v>
      </c>
      <c r="F110">
        <v>280264340330</v>
      </c>
      <c r="G110">
        <v>26.96</v>
      </c>
      <c r="H110">
        <v>26.96</v>
      </c>
      <c r="I110">
        <v>0</v>
      </c>
      <c r="J110">
        <v>0</v>
      </c>
      <c r="K110">
        <v>1.28</v>
      </c>
      <c r="L110">
        <v>1.28</v>
      </c>
      <c r="M110">
        <v>0</v>
      </c>
      <c r="N110">
        <v>25.68</v>
      </c>
      <c r="O110">
        <v>0</v>
      </c>
      <c r="P110">
        <v>0</v>
      </c>
      <c r="Q110">
        <v>4.7480000000000002</v>
      </c>
      <c r="R110">
        <v>95.251999999999995</v>
      </c>
      <c r="S110">
        <v>4.7480000000000002</v>
      </c>
      <c r="T110">
        <v>654.66999999999996</v>
      </c>
      <c r="U110">
        <v>0</v>
      </c>
      <c r="X110">
        <v>5.8</v>
      </c>
    </row>
    <row r="111" spans="1:25" x14ac:dyDescent="0.25">
      <c r="A111" t="s">
        <v>40</v>
      </c>
      <c r="B111" t="s">
        <v>41</v>
      </c>
      <c r="C111" t="s">
        <v>27</v>
      </c>
      <c r="D111">
        <v>2006</v>
      </c>
      <c r="E111">
        <v>146405983</v>
      </c>
      <c r="F111">
        <v>303255436424</v>
      </c>
      <c r="G111">
        <v>30.16</v>
      </c>
      <c r="H111">
        <v>30.16</v>
      </c>
      <c r="I111">
        <v>0.01</v>
      </c>
      <c r="J111">
        <v>0</v>
      </c>
      <c r="K111">
        <v>1.39</v>
      </c>
      <c r="L111">
        <v>1.38</v>
      </c>
      <c r="M111">
        <v>0</v>
      </c>
      <c r="N111">
        <v>28.77</v>
      </c>
      <c r="O111">
        <v>3.3000000000000002E-2</v>
      </c>
      <c r="P111">
        <v>0</v>
      </c>
      <c r="Q111">
        <v>4.609</v>
      </c>
      <c r="R111">
        <v>95.391000000000005</v>
      </c>
      <c r="S111">
        <v>4.609</v>
      </c>
      <c r="T111">
        <v>655.84</v>
      </c>
      <c r="U111">
        <v>0</v>
      </c>
      <c r="X111">
        <v>8.6</v>
      </c>
    </row>
    <row r="112" spans="1:25" x14ac:dyDescent="0.25">
      <c r="A112" t="s">
        <v>40</v>
      </c>
      <c r="B112" t="s">
        <v>41</v>
      </c>
      <c r="C112" t="s">
        <v>27</v>
      </c>
      <c r="D112">
        <v>2007</v>
      </c>
      <c r="E112">
        <v>147989282</v>
      </c>
      <c r="F112">
        <v>327072515722</v>
      </c>
      <c r="G112">
        <v>30.99</v>
      </c>
      <c r="H112">
        <v>30.99</v>
      </c>
      <c r="I112">
        <v>0.02</v>
      </c>
      <c r="J112">
        <v>0</v>
      </c>
      <c r="K112">
        <v>0.76</v>
      </c>
      <c r="L112">
        <v>0.74</v>
      </c>
      <c r="M112">
        <v>0</v>
      </c>
      <c r="N112">
        <v>30.23</v>
      </c>
      <c r="O112">
        <v>6.5000000000000002E-2</v>
      </c>
      <c r="P112">
        <v>0</v>
      </c>
      <c r="Q112">
        <v>2.452</v>
      </c>
      <c r="R112">
        <v>97.548000000000002</v>
      </c>
      <c r="S112">
        <v>2.452</v>
      </c>
      <c r="T112">
        <v>673.12</v>
      </c>
      <c r="U112">
        <v>0.01</v>
      </c>
      <c r="V112">
        <v>100</v>
      </c>
      <c r="X112">
        <v>-45.3</v>
      </c>
    </row>
    <row r="113" spans="1:25" x14ac:dyDescent="0.25">
      <c r="A113" t="s">
        <v>40</v>
      </c>
      <c r="B113" t="s">
        <v>41</v>
      </c>
      <c r="C113" t="s">
        <v>27</v>
      </c>
      <c r="D113">
        <v>2008</v>
      </c>
      <c r="E113">
        <v>149474264</v>
      </c>
      <c r="F113">
        <v>349461394439</v>
      </c>
      <c r="G113">
        <v>34.229999999999997</v>
      </c>
      <c r="H113">
        <v>34.229999999999997</v>
      </c>
      <c r="I113">
        <v>0.02</v>
      </c>
      <c r="J113">
        <v>0</v>
      </c>
      <c r="K113">
        <v>0.96</v>
      </c>
      <c r="L113">
        <v>0.94</v>
      </c>
      <c r="M113">
        <v>0</v>
      </c>
      <c r="N113">
        <v>33.270000000000003</v>
      </c>
      <c r="O113">
        <v>5.8000000000000003E-2</v>
      </c>
      <c r="P113">
        <v>0</v>
      </c>
      <c r="Q113">
        <v>2.8050000000000002</v>
      </c>
      <c r="R113">
        <v>97.194999999999993</v>
      </c>
      <c r="S113">
        <v>2.8050000000000002</v>
      </c>
      <c r="T113">
        <v>672.51</v>
      </c>
      <c r="U113">
        <v>0.01</v>
      </c>
      <c r="V113">
        <v>0</v>
      </c>
      <c r="X113">
        <v>26.3</v>
      </c>
    </row>
    <row r="114" spans="1:25" x14ac:dyDescent="0.25">
      <c r="A114" t="s">
        <v>40</v>
      </c>
      <c r="B114" t="s">
        <v>41</v>
      </c>
      <c r="C114" t="s">
        <v>27</v>
      </c>
      <c r="D114">
        <v>2009</v>
      </c>
      <c r="E114">
        <v>150873716</v>
      </c>
      <c r="F114">
        <v>372693237092</v>
      </c>
      <c r="G114">
        <v>37.229999999999997</v>
      </c>
      <c r="H114">
        <v>37.229999999999997</v>
      </c>
      <c r="I114">
        <v>0.03</v>
      </c>
      <c r="J114">
        <v>0</v>
      </c>
      <c r="K114">
        <v>0.47</v>
      </c>
      <c r="L114">
        <v>0.44</v>
      </c>
      <c r="M114">
        <v>0</v>
      </c>
      <c r="N114">
        <v>36.76</v>
      </c>
      <c r="O114">
        <v>8.1000000000000003E-2</v>
      </c>
      <c r="P114">
        <v>0</v>
      </c>
      <c r="Q114">
        <v>1.262</v>
      </c>
      <c r="R114">
        <v>98.738</v>
      </c>
      <c r="S114">
        <v>1.262</v>
      </c>
      <c r="T114">
        <v>681.98</v>
      </c>
      <c r="U114">
        <v>0.01</v>
      </c>
      <c r="V114">
        <v>50</v>
      </c>
      <c r="X114">
        <v>-51</v>
      </c>
    </row>
    <row r="115" spans="1:25" x14ac:dyDescent="0.25">
      <c r="A115" t="s">
        <v>40</v>
      </c>
      <c r="B115" t="s">
        <v>41</v>
      </c>
      <c r="C115" t="s">
        <v>27</v>
      </c>
      <c r="D115">
        <v>2010</v>
      </c>
      <c r="E115">
        <v>152201978</v>
      </c>
      <c r="F115">
        <v>400087800634</v>
      </c>
      <c r="G115">
        <v>40.86</v>
      </c>
      <c r="H115">
        <v>40.86</v>
      </c>
      <c r="I115">
        <v>7.0000000000000007E-2</v>
      </c>
      <c r="J115">
        <v>0</v>
      </c>
      <c r="K115">
        <v>0.83</v>
      </c>
      <c r="L115">
        <v>0.76</v>
      </c>
      <c r="M115">
        <v>0</v>
      </c>
      <c r="N115">
        <v>40.03</v>
      </c>
      <c r="O115">
        <v>0.17100000000000001</v>
      </c>
      <c r="P115">
        <v>0</v>
      </c>
      <c r="Q115">
        <v>2.0310000000000001</v>
      </c>
      <c r="R115">
        <v>97.968999999999994</v>
      </c>
      <c r="S115">
        <v>2.0310000000000001</v>
      </c>
      <c r="T115">
        <v>675.23</v>
      </c>
      <c r="U115">
        <v>0.03</v>
      </c>
      <c r="V115">
        <v>133.30000000000001</v>
      </c>
      <c r="X115">
        <v>76.599999999999994</v>
      </c>
    </row>
    <row r="116" spans="1:25" x14ac:dyDescent="0.25">
      <c r="A116" t="s">
        <v>40</v>
      </c>
      <c r="B116" t="s">
        <v>41</v>
      </c>
      <c r="C116" t="s">
        <v>27</v>
      </c>
      <c r="D116">
        <v>2011</v>
      </c>
      <c r="E116">
        <v>153591074</v>
      </c>
      <c r="F116">
        <v>431418704062</v>
      </c>
      <c r="G116">
        <v>44.22</v>
      </c>
      <c r="H116">
        <v>44.22</v>
      </c>
      <c r="I116">
        <v>0.06</v>
      </c>
      <c r="J116">
        <v>0</v>
      </c>
      <c r="K116">
        <v>0.98</v>
      </c>
      <c r="L116">
        <v>0.92</v>
      </c>
      <c r="M116">
        <v>0</v>
      </c>
      <c r="N116">
        <v>43.24</v>
      </c>
      <c r="O116">
        <v>0.13600000000000001</v>
      </c>
      <c r="P116">
        <v>0</v>
      </c>
      <c r="Q116">
        <v>2.2160000000000002</v>
      </c>
      <c r="R116">
        <v>97.784000000000006</v>
      </c>
      <c r="S116">
        <v>2.2160000000000002</v>
      </c>
      <c r="T116">
        <v>672.55</v>
      </c>
      <c r="U116">
        <v>0.03</v>
      </c>
      <c r="V116">
        <v>-14.3</v>
      </c>
      <c r="X116">
        <v>18.100000000000001</v>
      </c>
    </row>
    <row r="117" spans="1:25" x14ac:dyDescent="0.25">
      <c r="A117" t="s">
        <v>40</v>
      </c>
      <c r="B117" t="s">
        <v>41</v>
      </c>
      <c r="C117" t="s">
        <v>27</v>
      </c>
      <c r="D117">
        <v>2012</v>
      </c>
      <c r="E117">
        <v>155070110</v>
      </c>
      <c r="F117">
        <v>458456647637</v>
      </c>
      <c r="G117">
        <v>48.62</v>
      </c>
      <c r="H117">
        <v>48.62</v>
      </c>
      <c r="I117">
        <v>0.09</v>
      </c>
      <c r="J117">
        <v>0</v>
      </c>
      <c r="K117">
        <v>0.91</v>
      </c>
      <c r="L117">
        <v>0.82</v>
      </c>
      <c r="M117">
        <v>0</v>
      </c>
      <c r="N117">
        <v>47.71</v>
      </c>
      <c r="O117">
        <v>0.185</v>
      </c>
      <c r="P117">
        <v>0</v>
      </c>
      <c r="Q117">
        <v>1.8720000000000001</v>
      </c>
      <c r="R117">
        <v>98.128</v>
      </c>
      <c r="S117">
        <v>1.8720000000000001</v>
      </c>
      <c r="T117">
        <v>673.8</v>
      </c>
      <c r="U117">
        <v>0.04</v>
      </c>
      <c r="V117">
        <v>50</v>
      </c>
      <c r="X117">
        <v>-7.1</v>
      </c>
    </row>
    <row r="118" spans="1:25" x14ac:dyDescent="0.25">
      <c r="A118" t="s">
        <v>40</v>
      </c>
      <c r="B118" t="s">
        <v>41</v>
      </c>
      <c r="C118" t="s">
        <v>27</v>
      </c>
      <c r="D118">
        <v>2013</v>
      </c>
      <c r="E118">
        <v>156532134</v>
      </c>
      <c r="F118">
        <v>486135250102</v>
      </c>
      <c r="G118">
        <v>53.34</v>
      </c>
      <c r="H118">
        <v>53.34</v>
      </c>
      <c r="I118">
        <v>0.13</v>
      </c>
      <c r="J118">
        <v>0</v>
      </c>
      <c r="K118">
        <v>1.07</v>
      </c>
      <c r="L118">
        <v>0.94</v>
      </c>
      <c r="M118">
        <v>0</v>
      </c>
      <c r="N118">
        <v>52.27</v>
      </c>
      <c r="O118">
        <v>0.24399999999999999</v>
      </c>
      <c r="P118">
        <v>0</v>
      </c>
      <c r="Q118">
        <v>2.0059999999999998</v>
      </c>
      <c r="R118">
        <v>97.994</v>
      </c>
      <c r="S118">
        <v>2.0059999999999998</v>
      </c>
      <c r="T118">
        <v>673.79</v>
      </c>
      <c r="U118">
        <v>0.06</v>
      </c>
      <c r="V118">
        <v>44.4</v>
      </c>
      <c r="X118">
        <v>17.600000000000001</v>
      </c>
    </row>
    <row r="119" spans="1:25" x14ac:dyDescent="0.25">
      <c r="A119" t="s">
        <v>40</v>
      </c>
      <c r="B119" t="s">
        <v>41</v>
      </c>
      <c r="C119" t="s">
        <v>27</v>
      </c>
      <c r="D119">
        <v>2014</v>
      </c>
      <c r="E119">
        <v>157964931</v>
      </c>
      <c r="F119">
        <v>516793803718</v>
      </c>
      <c r="G119">
        <v>56.05</v>
      </c>
      <c r="H119">
        <v>58.32</v>
      </c>
      <c r="I119">
        <v>0.16</v>
      </c>
      <c r="J119">
        <v>0</v>
      </c>
      <c r="K119">
        <v>0.78</v>
      </c>
      <c r="L119">
        <v>0.62</v>
      </c>
      <c r="M119">
        <v>0</v>
      </c>
      <c r="N119">
        <v>55.27</v>
      </c>
      <c r="O119">
        <v>0.28499999999999998</v>
      </c>
      <c r="P119">
        <v>0</v>
      </c>
      <c r="Q119">
        <v>1.3919999999999999</v>
      </c>
      <c r="R119">
        <v>98.608000000000004</v>
      </c>
      <c r="S119">
        <v>1.3919999999999999</v>
      </c>
      <c r="T119">
        <v>676.54</v>
      </c>
      <c r="U119">
        <v>7.0000000000000007E-2</v>
      </c>
      <c r="V119">
        <v>23.1</v>
      </c>
      <c r="X119">
        <v>-27.1</v>
      </c>
    </row>
    <row r="120" spans="1:25" x14ac:dyDescent="0.25">
      <c r="A120" t="s">
        <v>40</v>
      </c>
      <c r="B120" t="s">
        <v>41</v>
      </c>
      <c r="C120" t="s">
        <v>27</v>
      </c>
      <c r="D120">
        <v>2015</v>
      </c>
      <c r="E120">
        <v>159383179</v>
      </c>
      <c r="F120">
        <v>552104723056</v>
      </c>
      <c r="G120">
        <v>59.29</v>
      </c>
      <c r="H120">
        <v>62.67</v>
      </c>
      <c r="I120">
        <v>0.2</v>
      </c>
      <c r="J120">
        <v>0.01</v>
      </c>
      <c r="K120">
        <v>0.8</v>
      </c>
      <c r="L120">
        <v>0.59</v>
      </c>
      <c r="M120">
        <v>0</v>
      </c>
      <c r="N120">
        <v>58.49</v>
      </c>
      <c r="O120">
        <v>0.33700000000000002</v>
      </c>
      <c r="P120">
        <v>1.7000000000000001E-2</v>
      </c>
      <c r="Q120">
        <v>1.349</v>
      </c>
      <c r="R120">
        <v>98.650999999999996</v>
      </c>
      <c r="S120">
        <v>1.349</v>
      </c>
      <c r="T120">
        <v>675.83</v>
      </c>
      <c r="U120">
        <v>0.09</v>
      </c>
      <c r="V120">
        <v>25</v>
      </c>
      <c r="X120">
        <v>2.6</v>
      </c>
    </row>
    <row r="121" spans="1:25" x14ac:dyDescent="0.25">
      <c r="A121" t="s">
        <v>40</v>
      </c>
      <c r="B121" t="s">
        <v>41</v>
      </c>
      <c r="C121" t="s">
        <v>27</v>
      </c>
      <c r="D121">
        <v>2016</v>
      </c>
      <c r="E121">
        <v>160811934</v>
      </c>
      <c r="F121">
        <v>589932630231</v>
      </c>
      <c r="G121">
        <v>69.09</v>
      </c>
      <c r="H121">
        <v>72.91</v>
      </c>
      <c r="I121">
        <v>0.22</v>
      </c>
      <c r="J121">
        <v>0.01</v>
      </c>
      <c r="K121">
        <v>1.24</v>
      </c>
      <c r="L121">
        <v>1.01</v>
      </c>
      <c r="M121">
        <v>0</v>
      </c>
      <c r="N121">
        <v>67.849999999999994</v>
      </c>
      <c r="O121">
        <v>0.318</v>
      </c>
      <c r="P121">
        <v>1.4E-2</v>
      </c>
      <c r="Q121">
        <v>1.7949999999999999</v>
      </c>
      <c r="R121">
        <v>98.204999999999998</v>
      </c>
      <c r="S121">
        <v>1.7949999999999999</v>
      </c>
      <c r="T121">
        <v>672.6</v>
      </c>
      <c r="U121">
        <v>0.1</v>
      </c>
      <c r="V121">
        <v>10</v>
      </c>
      <c r="W121">
        <v>0</v>
      </c>
      <c r="X121">
        <v>55</v>
      </c>
    </row>
    <row r="122" spans="1:25" x14ac:dyDescent="0.25">
      <c r="A122" t="s">
        <v>40</v>
      </c>
      <c r="B122" t="s">
        <v>41</v>
      </c>
      <c r="C122" t="s">
        <v>27</v>
      </c>
      <c r="D122">
        <v>2017</v>
      </c>
      <c r="E122">
        <v>162186146</v>
      </c>
      <c r="F122">
        <v>630957812405</v>
      </c>
      <c r="G122">
        <v>73.45</v>
      </c>
      <c r="H122">
        <v>78.11</v>
      </c>
      <c r="I122">
        <v>0.25</v>
      </c>
      <c r="J122">
        <v>0.01</v>
      </c>
      <c r="K122">
        <v>1.29</v>
      </c>
      <c r="L122">
        <v>1.03</v>
      </c>
      <c r="M122">
        <v>0</v>
      </c>
      <c r="N122">
        <v>72.16</v>
      </c>
      <c r="O122">
        <v>0.34</v>
      </c>
      <c r="P122">
        <v>1.4E-2</v>
      </c>
      <c r="Q122">
        <v>1.756</v>
      </c>
      <c r="R122">
        <v>98.244</v>
      </c>
      <c r="S122">
        <v>1.756</v>
      </c>
      <c r="T122">
        <v>672.16</v>
      </c>
      <c r="U122">
        <v>0.12</v>
      </c>
      <c r="V122">
        <v>13.6</v>
      </c>
      <c r="W122">
        <v>0</v>
      </c>
      <c r="X122">
        <v>4</v>
      </c>
    </row>
    <row r="123" spans="1:25" x14ac:dyDescent="0.25">
      <c r="A123" t="s">
        <v>40</v>
      </c>
      <c r="B123" t="s">
        <v>41</v>
      </c>
      <c r="C123" t="s">
        <v>27</v>
      </c>
      <c r="D123">
        <v>2018</v>
      </c>
      <c r="E123">
        <v>163523109</v>
      </c>
      <c r="F123">
        <v>678912369102</v>
      </c>
      <c r="G123">
        <v>79.150000000000006</v>
      </c>
      <c r="H123">
        <v>83.93</v>
      </c>
      <c r="I123">
        <v>0.31</v>
      </c>
      <c r="J123">
        <v>0.01</v>
      </c>
      <c r="K123">
        <v>1.4</v>
      </c>
      <c r="L123">
        <v>1.08</v>
      </c>
      <c r="M123">
        <v>0</v>
      </c>
      <c r="N123">
        <v>77.75</v>
      </c>
      <c r="O123">
        <v>0.39200000000000002</v>
      </c>
      <c r="P123">
        <v>1.2999999999999999E-2</v>
      </c>
      <c r="Q123">
        <v>1.7689999999999999</v>
      </c>
      <c r="R123">
        <v>98.230999999999995</v>
      </c>
      <c r="S123">
        <v>1.7689999999999999</v>
      </c>
      <c r="T123">
        <v>673.03</v>
      </c>
      <c r="U123">
        <v>0.14000000000000001</v>
      </c>
      <c r="V123">
        <v>24</v>
      </c>
      <c r="W123">
        <v>0</v>
      </c>
      <c r="X123">
        <v>8.5</v>
      </c>
    </row>
    <row r="124" spans="1:25" x14ac:dyDescent="0.25">
      <c r="A124" t="s">
        <v>40</v>
      </c>
      <c r="B124" t="s">
        <v>41</v>
      </c>
      <c r="C124" t="s">
        <v>27</v>
      </c>
      <c r="D124">
        <v>2019</v>
      </c>
      <c r="E124">
        <v>164913060</v>
      </c>
      <c r="F124">
        <v>717214595514</v>
      </c>
      <c r="G124">
        <v>85.11</v>
      </c>
      <c r="H124">
        <v>91.9</v>
      </c>
      <c r="I124">
        <v>0.37</v>
      </c>
      <c r="J124">
        <v>0.01</v>
      </c>
      <c r="K124">
        <v>1.19</v>
      </c>
      <c r="L124">
        <v>0.81</v>
      </c>
      <c r="M124">
        <v>0</v>
      </c>
      <c r="N124">
        <v>83.92</v>
      </c>
      <c r="O124">
        <v>0.435</v>
      </c>
      <c r="P124">
        <v>1.2E-2</v>
      </c>
      <c r="Q124">
        <v>1.3979999999999999</v>
      </c>
      <c r="R124">
        <v>98.602000000000004</v>
      </c>
      <c r="S124">
        <v>1.3979999999999999</v>
      </c>
      <c r="T124">
        <v>675.24</v>
      </c>
      <c r="U124">
        <v>0.17</v>
      </c>
      <c r="V124">
        <v>19.399999999999999</v>
      </c>
      <c r="W124">
        <v>0</v>
      </c>
      <c r="X124">
        <v>-15</v>
      </c>
    </row>
    <row r="125" spans="1:25" x14ac:dyDescent="0.25">
      <c r="A125" t="s">
        <v>40</v>
      </c>
      <c r="B125" t="s">
        <v>41</v>
      </c>
      <c r="C125" t="s">
        <v>27</v>
      </c>
      <c r="D125">
        <v>2020</v>
      </c>
      <c r="E125">
        <v>166298024</v>
      </c>
      <c r="F125">
        <v>754358367084</v>
      </c>
      <c r="G125">
        <v>85.46</v>
      </c>
      <c r="H125">
        <v>92.13</v>
      </c>
      <c r="I125">
        <v>0.46</v>
      </c>
      <c r="J125">
        <v>0.01</v>
      </c>
      <c r="K125">
        <v>1.25</v>
      </c>
      <c r="L125">
        <v>0.78</v>
      </c>
      <c r="M125">
        <v>0</v>
      </c>
      <c r="N125">
        <v>84.21</v>
      </c>
      <c r="O125">
        <v>0.53800000000000003</v>
      </c>
      <c r="P125">
        <v>1.2E-2</v>
      </c>
      <c r="Q125">
        <v>1.4630000000000001</v>
      </c>
      <c r="R125">
        <v>98.537000000000006</v>
      </c>
      <c r="S125">
        <v>1.4630000000000001</v>
      </c>
      <c r="T125">
        <v>678.91</v>
      </c>
      <c r="U125">
        <v>0.21</v>
      </c>
      <c r="V125">
        <v>24.3</v>
      </c>
      <c r="W125">
        <v>0</v>
      </c>
      <c r="X125">
        <v>5</v>
      </c>
    </row>
    <row r="126" spans="1:25" x14ac:dyDescent="0.25">
      <c r="A126" t="s">
        <v>40</v>
      </c>
      <c r="B126" t="s">
        <v>41</v>
      </c>
      <c r="C126" t="s">
        <v>27</v>
      </c>
      <c r="D126">
        <v>2021</v>
      </c>
      <c r="E126">
        <v>167658855</v>
      </c>
      <c r="F126">
        <v>807308397444</v>
      </c>
      <c r="G126">
        <v>95.65</v>
      </c>
      <c r="H126">
        <v>103.75</v>
      </c>
      <c r="I126">
        <v>0.61</v>
      </c>
      <c r="J126">
        <v>0.01</v>
      </c>
      <c r="K126">
        <v>1.35</v>
      </c>
      <c r="L126">
        <v>0.73</v>
      </c>
      <c r="M126">
        <v>0</v>
      </c>
      <c r="N126">
        <v>94.3</v>
      </c>
      <c r="O126">
        <v>0.63800000000000001</v>
      </c>
      <c r="P126">
        <v>0.01</v>
      </c>
      <c r="Q126">
        <v>1.411</v>
      </c>
      <c r="R126">
        <v>98.588999999999999</v>
      </c>
      <c r="S126">
        <v>1.411</v>
      </c>
      <c r="T126">
        <v>679.04</v>
      </c>
      <c r="U126">
        <v>0.28000000000000003</v>
      </c>
      <c r="V126">
        <v>32.6</v>
      </c>
      <c r="W126">
        <v>0</v>
      </c>
      <c r="X126">
        <v>8</v>
      </c>
      <c r="Y126" t="s">
        <v>42</v>
      </c>
    </row>
    <row r="127" spans="1:25" x14ac:dyDescent="0.25">
      <c r="A127" t="s">
        <v>40</v>
      </c>
      <c r="B127" t="s">
        <v>41</v>
      </c>
      <c r="C127" t="s">
        <v>27</v>
      </c>
      <c r="D127">
        <v>2022</v>
      </c>
      <c r="E127">
        <v>169384891</v>
      </c>
      <c r="F127">
        <v>858143907016</v>
      </c>
      <c r="G127">
        <v>102.25</v>
      </c>
      <c r="H127">
        <v>109.96</v>
      </c>
      <c r="I127">
        <v>0.87</v>
      </c>
      <c r="J127">
        <v>0.01</v>
      </c>
      <c r="K127">
        <v>1.59</v>
      </c>
      <c r="L127">
        <v>0.71</v>
      </c>
      <c r="M127">
        <v>0</v>
      </c>
      <c r="N127">
        <v>100.66</v>
      </c>
      <c r="O127">
        <v>0.85099999999999998</v>
      </c>
      <c r="P127">
        <v>0.01</v>
      </c>
      <c r="Q127">
        <v>1.5549999999999999</v>
      </c>
      <c r="R127">
        <v>98.444999999999993</v>
      </c>
      <c r="S127">
        <v>1.5549999999999999</v>
      </c>
      <c r="T127">
        <v>676.48</v>
      </c>
      <c r="U127">
        <v>0.4</v>
      </c>
      <c r="V127">
        <v>42.6</v>
      </c>
      <c r="W127">
        <v>0</v>
      </c>
      <c r="X127">
        <v>17.8</v>
      </c>
    </row>
    <row r="128" spans="1:25" x14ac:dyDescent="0.25">
      <c r="A128" t="s">
        <v>40</v>
      </c>
      <c r="B128" t="s">
        <v>41</v>
      </c>
      <c r="C128" t="s">
        <v>27</v>
      </c>
      <c r="D128">
        <v>2023</v>
      </c>
      <c r="E128">
        <v>171466986</v>
      </c>
      <c r="G128">
        <v>100.73</v>
      </c>
      <c r="H128">
        <v>111.16</v>
      </c>
      <c r="I128">
        <v>1.07</v>
      </c>
      <c r="J128">
        <v>0</v>
      </c>
      <c r="K128">
        <v>1.72</v>
      </c>
      <c r="L128">
        <v>0.65</v>
      </c>
      <c r="M128">
        <v>0</v>
      </c>
      <c r="N128">
        <v>99.01</v>
      </c>
      <c r="O128">
        <v>1.0620000000000001</v>
      </c>
      <c r="P128">
        <v>0</v>
      </c>
      <c r="Q128">
        <v>1.708</v>
      </c>
      <c r="R128">
        <v>98.292000000000002</v>
      </c>
      <c r="S128">
        <v>1.708</v>
      </c>
      <c r="T128">
        <v>682.72</v>
      </c>
      <c r="U128">
        <v>0.48</v>
      </c>
      <c r="V128">
        <v>23</v>
      </c>
      <c r="W128">
        <v>-100</v>
      </c>
      <c r="X128">
        <v>8.1999999999999993</v>
      </c>
    </row>
    <row r="129" spans="1:24" x14ac:dyDescent="0.25">
      <c r="A129" t="s">
        <v>40</v>
      </c>
      <c r="B129" t="s">
        <v>41</v>
      </c>
      <c r="C129" t="s">
        <v>27</v>
      </c>
      <c r="D129">
        <v>2024</v>
      </c>
      <c r="E129">
        <v>173562366</v>
      </c>
      <c r="G129">
        <v>101.74</v>
      </c>
      <c r="H129">
        <v>111.74</v>
      </c>
      <c r="I129">
        <v>1.22</v>
      </c>
      <c r="J129">
        <v>0</v>
      </c>
      <c r="K129">
        <v>1.92</v>
      </c>
      <c r="L129">
        <v>0.7</v>
      </c>
      <c r="M129">
        <v>0</v>
      </c>
      <c r="N129">
        <v>99.82</v>
      </c>
      <c r="O129">
        <v>1.1990000000000001</v>
      </c>
      <c r="P129">
        <v>0</v>
      </c>
      <c r="Q129">
        <v>1.887</v>
      </c>
      <c r="R129">
        <v>98.113</v>
      </c>
      <c r="S129">
        <v>1.887</v>
      </c>
      <c r="T129">
        <v>695.7</v>
      </c>
      <c r="U129">
        <v>0.55000000000000004</v>
      </c>
      <c r="V129">
        <v>14</v>
      </c>
      <c r="X129">
        <v>11.6</v>
      </c>
    </row>
    <row r="130" spans="1:24" x14ac:dyDescent="0.25">
      <c r="A130" t="s">
        <v>40</v>
      </c>
      <c r="B130" t="s">
        <v>41</v>
      </c>
      <c r="C130" t="s">
        <v>27</v>
      </c>
      <c r="D130">
        <v>2025</v>
      </c>
      <c r="E130">
        <v>175686904</v>
      </c>
      <c r="G130">
        <v>103.4</v>
      </c>
      <c r="H130">
        <v>118.06</v>
      </c>
      <c r="I130">
        <v>1.56</v>
      </c>
      <c r="J130">
        <v>0</v>
      </c>
      <c r="K130">
        <v>2.21</v>
      </c>
      <c r="L130">
        <v>0.65</v>
      </c>
      <c r="M130">
        <v>0</v>
      </c>
      <c r="N130">
        <v>101.19</v>
      </c>
      <c r="O130">
        <v>1.5089999999999999</v>
      </c>
      <c r="P130">
        <v>0</v>
      </c>
      <c r="Q130">
        <v>2.137</v>
      </c>
      <c r="R130">
        <v>97.863</v>
      </c>
      <c r="S130">
        <v>2.137</v>
      </c>
      <c r="T130">
        <v>696.13</v>
      </c>
      <c r="U130">
        <v>0.7</v>
      </c>
      <c r="V130">
        <v>27.9</v>
      </c>
      <c r="X130">
        <v>15.1</v>
      </c>
    </row>
    <row r="131" spans="1:24" x14ac:dyDescent="0.25">
      <c r="A131" t="s">
        <v>43</v>
      </c>
      <c r="B131" t="s">
        <v>38</v>
      </c>
      <c r="C131" t="s">
        <v>35</v>
      </c>
      <c r="D131">
        <v>2000</v>
      </c>
      <c r="E131">
        <v>10251719</v>
      </c>
      <c r="F131">
        <v>345706865981</v>
      </c>
      <c r="G131">
        <v>82.79</v>
      </c>
      <c r="H131">
        <v>87.12</v>
      </c>
      <c r="I131">
        <v>0</v>
      </c>
      <c r="J131">
        <v>0.02</v>
      </c>
      <c r="K131">
        <v>1.05</v>
      </c>
      <c r="L131">
        <v>0.46</v>
      </c>
      <c r="M131">
        <v>48.16</v>
      </c>
      <c r="N131">
        <v>33.58</v>
      </c>
      <c r="O131">
        <v>0</v>
      </c>
      <c r="P131">
        <v>2.4E-2</v>
      </c>
      <c r="Q131">
        <v>1.268</v>
      </c>
      <c r="R131">
        <v>40.56</v>
      </c>
      <c r="S131">
        <v>59.44</v>
      </c>
      <c r="T131">
        <v>269.60000000000002</v>
      </c>
      <c r="U131">
        <v>0.01</v>
      </c>
    </row>
    <row r="132" spans="1:24" x14ac:dyDescent="0.25">
      <c r="A132" t="s">
        <v>43</v>
      </c>
      <c r="B132" t="s">
        <v>38</v>
      </c>
      <c r="C132" t="s">
        <v>35</v>
      </c>
      <c r="D132">
        <v>2001</v>
      </c>
      <c r="E132">
        <v>10287005</v>
      </c>
      <c r="F132">
        <v>349015220419</v>
      </c>
      <c r="G132">
        <v>78.63</v>
      </c>
      <c r="H132">
        <v>87.74</v>
      </c>
      <c r="I132">
        <v>0</v>
      </c>
      <c r="J132">
        <v>0.04</v>
      </c>
      <c r="K132">
        <v>1.08</v>
      </c>
      <c r="L132">
        <v>0.44</v>
      </c>
      <c r="M132">
        <v>46.35</v>
      </c>
      <c r="N132">
        <v>31.2</v>
      </c>
      <c r="O132">
        <v>0</v>
      </c>
      <c r="P132">
        <v>5.0999999999999997E-2</v>
      </c>
      <c r="Q132">
        <v>1.3740000000000001</v>
      </c>
      <c r="R132">
        <v>39.68</v>
      </c>
      <c r="S132">
        <v>60.32</v>
      </c>
      <c r="T132">
        <v>252.83</v>
      </c>
      <c r="U132">
        <v>0.02</v>
      </c>
      <c r="W132">
        <v>100</v>
      </c>
      <c r="X132">
        <v>2.9</v>
      </c>
    </row>
    <row r="133" spans="1:24" x14ac:dyDescent="0.25">
      <c r="A133" t="s">
        <v>43</v>
      </c>
      <c r="B133" t="s">
        <v>38</v>
      </c>
      <c r="C133" t="s">
        <v>35</v>
      </c>
      <c r="D133">
        <v>2002</v>
      </c>
      <c r="E133">
        <v>10332975</v>
      </c>
      <c r="F133">
        <v>355705534550</v>
      </c>
      <c r="G133">
        <v>80.94</v>
      </c>
      <c r="H133">
        <v>88.53</v>
      </c>
      <c r="I133">
        <v>0</v>
      </c>
      <c r="J133">
        <v>0.06</v>
      </c>
      <c r="K133">
        <v>1.1399999999999999</v>
      </c>
      <c r="L133">
        <v>0.36</v>
      </c>
      <c r="M133">
        <v>47.36</v>
      </c>
      <c r="N133">
        <v>32.44</v>
      </c>
      <c r="O133">
        <v>0</v>
      </c>
      <c r="P133">
        <v>7.3999999999999996E-2</v>
      </c>
      <c r="Q133">
        <v>1.4079999999999999</v>
      </c>
      <c r="R133">
        <v>40.079000000000001</v>
      </c>
      <c r="S133">
        <v>59.920999999999999</v>
      </c>
      <c r="T133">
        <v>249.82</v>
      </c>
      <c r="U133">
        <v>0.03</v>
      </c>
      <c r="W133">
        <v>50</v>
      </c>
      <c r="X133">
        <v>5.6</v>
      </c>
    </row>
    <row r="134" spans="1:24" x14ac:dyDescent="0.25">
      <c r="A134" t="s">
        <v>43</v>
      </c>
      <c r="B134" t="s">
        <v>38</v>
      </c>
      <c r="C134" t="s">
        <v>35</v>
      </c>
      <c r="D134">
        <v>2003</v>
      </c>
      <c r="E134">
        <v>10376262</v>
      </c>
      <c r="F134">
        <v>358937085300</v>
      </c>
      <c r="G134">
        <v>83.57</v>
      </c>
      <c r="H134">
        <v>89.98</v>
      </c>
      <c r="I134">
        <v>0</v>
      </c>
      <c r="J134">
        <v>0.09</v>
      </c>
      <c r="K134">
        <v>1.2</v>
      </c>
      <c r="L134">
        <v>0.25</v>
      </c>
      <c r="M134">
        <v>47.38</v>
      </c>
      <c r="N134">
        <v>34.99</v>
      </c>
      <c r="O134">
        <v>0</v>
      </c>
      <c r="P134">
        <v>0.108</v>
      </c>
      <c r="Q134">
        <v>1.4359999999999999</v>
      </c>
      <c r="R134">
        <v>41.869</v>
      </c>
      <c r="S134">
        <v>58.131</v>
      </c>
      <c r="T134">
        <v>249.13</v>
      </c>
      <c r="U134">
        <v>0.04</v>
      </c>
      <c r="W134">
        <v>50</v>
      </c>
      <c r="X134">
        <v>5.3</v>
      </c>
    </row>
    <row r="135" spans="1:24" x14ac:dyDescent="0.25">
      <c r="A135" t="s">
        <v>43</v>
      </c>
      <c r="B135" t="s">
        <v>38</v>
      </c>
      <c r="C135" t="s">
        <v>35</v>
      </c>
      <c r="D135">
        <v>2004</v>
      </c>
      <c r="E135">
        <v>10421298</v>
      </c>
      <c r="F135">
        <v>372499172102</v>
      </c>
      <c r="G135">
        <v>82.91</v>
      </c>
      <c r="H135">
        <v>90.69</v>
      </c>
      <c r="I135">
        <v>0</v>
      </c>
      <c r="J135">
        <v>0.14000000000000001</v>
      </c>
      <c r="K135">
        <v>1.5</v>
      </c>
      <c r="L135">
        <v>0.32</v>
      </c>
      <c r="M135">
        <v>47.31</v>
      </c>
      <c r="N135">
        <v>34.1</v>
      </c>
      <c r="O135">
        <v>0</v>
      </c>
      <c r="P135">
        <v>0.16900000000000001</v>
      </c>
      <c r="Q135">
        <v>1.8089999999999999</v>
      </c>
      <c r="R135">
        <v>41.128999999999998</v>
      </c>
      <c r="S135">
        <v>58.871000000000002</v>
      </c>
      <c r="T135">
        <v>247.62</v>
      </c>
      <c r="U135">
        <v>0.06</v>
      </c>
      <c r="W135">
        <v>55.6</v>
      </c>
      <c r="X135">
        <v>25</v>
      </c>
    </row>
    <row r="136" spans="1:24" x14ac:dyDescent="0.25">
      <c r="A136" t="s">
        <v>43</v>
      </c>
      <c r="B136" t="s">
        <v>38</v>
      </c>
      <c r="C136" t="s">
        <v>35</v>
      </c>
      <c r="D136">
        <v>2005</v>
      </c>
      <c r="E136">
        <v>10478883</v>
      </c>
      <c r="F136">
        <v>380840056202</v>
      </c>
      <c r="G136">
        <v>84.38</v>
      </c>
      <c r="H136">
        <v>90.68</v>
      </c>
      <c r="I136">
        <v>0</v>
      </c>
      <c r="J136">
        <v>0.23</v>
      </c>
      <c r="K136">
        <v>2.11</v>
      </c>
      <c r="L136">
        <v>0.28999999999999998</v>
      </c>
      <c r="M136">
        <v>47.6</v>
      </c>
      <c r="N136">
        <v>34.67</v>
      </c>
      <c r="O136">
        <v>0</v>
      </c>
      <c r="P136">
        <v>0.27300000000000002</v>
      </c>
      <c r="Q136">
        <v>2.5009999999999999</v>
      </c>
      <c r="R136">
        <v>41.088000000000001</v>
      </c>
      <c r="S136">
        <v>58.911999999999999</v>
      </c>
      <c r="T136">
        <v>241.05</v>
      </c>
      <c r="U136">
        <v>0.1</v>
      </c>
      <c r="W136">
        <v>64.3</v>
      </c>
      <c r="X136">
        <v>40.700000000000003</v>
      </c>
    </row>
    <row r="137" spans="1:24" x14ac:dyDescent="0.25">
      <c r="A137" t="s">
        <v>43</v>
      </c>
      <c r="B137" t="s">
        <v>38</v>
      </c>
      <c r="C137" t="s">
        <v>35</v>
      </c>
      <c r="D137">
        <v>2006</v>
      </c>
      <c r="E137">
        <v>10548445</v>
      </c>
      <c r="F137">
        <v>390874955040</v>
      </c>
      <c r="G137">
        <v>83.34</v>
      </c>
      <c r="H137">
        <v>93.5</v>
      </c>
      <c r="I137">
        <v>0</v>
      </c>
      <c r="J137">
        <v>0.37</v>
      </c>
      <c r="K137">
        <v>2.96</v>
      </c>
      <c r="L137">
        <v>0.36</v>
      </c>
      <c r="M137">
        <v>46.65</v>
      </c>
      <c r="N137">
        <v>33.729999999999997</v>
      </c>
      <c r="O137">
        <v>0</v>
      </c>
      <c r="P137">
        <v>0.44400000000000001</v>
      </c>
      <c r="Q137">
        <v>3.552</v>
      </c>
      <c r="R137">
        <v>40.472999999999999</v>
      </c>
      <c r="S137">
        <v>59.527000000000001</v>
      </c>
      <c r="T137">
        <v>231.58</v>
      </c>
      <c r="U137">
        <v>0.17</v>
      </c>
      <c r="W137">
        <v>60.9</v>
      </c>
      <c r="X137">
        <v>40.299999999999997</v>
      </c>
    </row>
    <row r="138" spans="1:24" x14ac:dyDescent="0.25">
      <c r="A138" t="s">
        <v>43</v>
      </c>
      <c r="B138" t="s">
        <v>38</v>
      </c>
      <c r="C138" t="s">
        <v>35</v>
      </c>
      <c r="D138">
        <v>2007</v>
      </c>
      <c r="E138">
        <v>10625488</v>
      </c>
      <c r="F138">
        <v>404721960651</v>
      </c>
      <c r="G138">
        <v>86.81</v>
      </c>
      <c r="H138">
        <v>93.59</v>
      </c>
      <c r="I138">
        <v>0.01</v>
      </c>
      <c r="J138">
        <v>0.49</v>
      </c>
      <c r="K138">
        <v>3.49</v>
      </c>
      <c r="L138">
        <v>0.39</v>
      </c>
      <c r="M138">
        <v>48.23</v>
      </c>
      <c r="N138">
        <v>35.090000000000003</v>
      </c>
      <c r="O138">
        <v>1.2E-2</v>
      </c>
      <c r="P138">
        <v>0.56399999999999995</v>
      </c>
      <c r="Q138">
        <v>4.0199999999999996</v>
      </c>
      <c r="R138">
        <v>40.421999999999997</v>
      </c>
      <c r="S138">
        <v>59.578000000000003</v>
      </c>
      <c r="T138">
        <v>224.28</v>
      </c>
      <c r="U138">
        <v>0.22</v>
      </c>
      <c r="W138">
        <v>32.4</v>
      </c>
      <c r="X138">
        <v>17.899999999999999</v>
      </c>
    </row>
    <row r="139" spans="1:24" x14ac:dyDescent="0.25">
      <c r="A139" t="s">
        <v>43</v>
      </c>
      <c r="B139" t="s">
        <v>38</v>
      </c>
      <c r="C139" t="s">
        <v>35</v>
      </c>
      <c r="D139">
        <v>2008</v>
      </c>
      <c r="E139">
        <v>10709711</v>
      </c>
      <c r="F139">
        <v>408290544814</v>
      </c>
      <c r="G139">
        <v>83.06</v>
      </c>
      <c r="H139">
        <v>93.66</v>
      </c>
      <c r="I139">
        <v>0.04</v>
      </c>
      <c r="J139">
        <v>0.64</v>
      </c>
      <c r="K139">
        <v>4.42</v>
      </c>
      <c r="L139">
        <v>0.41</v>
      </c>
      <c r="M139">
        <v>45.57</v>
      </c>
      <c r="N139">
        <v>33.07</v>
      </c>
      <c r="O139">
        <v>4.8000000000000001E-2</v>
      </c>
      <c r="P139">
        <v>0.77100000000000002</v>
      </c>
      <c r="Q139">
        <v>5.3209999999999997</v>
      </c>
      <c r="R139">
        <v>39.814999999999998</v>
      </c>
      <c r="S139">
        <v>60.185000000000002</v>
      </c>
      <c r="T139">
        <v>218.28</v>
      </c>
      <c r="U139">
        <v>0.31</v>
      </c>
      <c r="V139">
        <v>300</v>
      </c>
      <c r="W139">
        <v>30.6</v>
      </c>
      <c r="X139">
        <v>26.6</v>
      </c>
    </row>
    <row r="140" spans="1:24" x14ac:dyDescent="0.25">
      <c r="A140" t="s">
        <v>43</v>
      </c>
      <c r="B140" t="s">
        <v>38</v>
      </c>
      <c r="C140" t="s">
        <v>35</v>
      </c>
      <c r="D140">
        <v>2009</v>
      </c>
      <c r="E140">
        <v>10812936</v>
      </c>
      <c r="F140">
        <v>399489943721</v>
      </c>
      <c r="G140">
        <v>89.76</v>
      </c>
      <c r="H140">
        <v>87.92</v>
      </c>
      <c r="I140">
        <v>0.17</v>
      </c>
      <c r="J140">
        <v>0.99</v>
      </c>
      <c r="K140">
        <v>5.44</v>
      </c>
      <c r="L140">
        <v>0.33</v>
      </c>
      <c r="M140">
        <v>47.22</v>
      </c>
      <c r="N140">
        <v>37.1</v>
      </c>
      <c r="O140">
        <v>0.189</v>
      </c>
      <c r="P140">
        <v>1.103</v>
      </c>
      <c r="Q140">
        <v>6.0609999999999999</v>
      </c>
      <c r="R140">
        <v>41.332000000000001</v>
      </c>
      <c r="S140">
        <v>58.667999999999999</v>
      </c>
      <c r="T140">
        <v>216.91</v>
      </c>
      <c r="U140">
        <v>0.52</v>
      </c>
      <c r="V140">
        <v>325</v>
      </c>
      <c r="W140">
        <v>54.7</v>
      </c>
      <c r="X140">
        <v>23.1</v>
      </c>
    </row>
    <row r="141" spans="1:24" x14ac:dyDescent="0.25">
      <c r="A141" t="s">
        <v>43</v>
      </c>
      <c r="B141" t="s">
        <v>38</v>
      </c>
      <c r="C141" t="s">
        <v>35</v>
      </c>
      <c r="D141">
        <v>2010</v>
      </c>
      <c r="E141">
        <v>10936619</v>
      </c>
      <c r="F141">
        <v>411261674695</v>
      </c>
      <c r="G141">
        <v>93.04</v>
      </c>
      <c r="H141">
        <v>93.59</v>
      </c>
      <c r="I141">
        <v>0.57999999999999996</v>
      </c>
      <c r="J141">
        <v>1.3</v>
      </c>
      <c r="K141">
        <v>6.57</v>
      </c>
      <c r="L141">
        <v>0.31</v>
      </c>
      <c r="M141">
        <v>47.94</v>
      </c>
      <c r="N141">
        <v>38.53</v>
      </c>
      <c r="O141">
        <v>0.623</v>
      </c>
      <c r="P141">
        <v>1.397</v>
      </c>
      <c r="Q141">
        <v>7.0609999999999999</v>
      </c>
      <c r="R141">
        <v>41.411999999999999</v>
      </c>
      <c r="S141">
        <v>58.588000000000001</v>
      </c>
      <c r="T141">
        <v>212.81</v>
      </c>
      <c r="U141">
        <v>0.85</v>
      </c>
      <c r="V141">
        <v>241.2</v>
      </c>
      <c r="W141">
        <v>31.3</v>
      </c>
      <c r="X141">
        <v>20.8</v>
      </c>
    </row>
    <row r="142" spans="1:24" x14ac:dyDescent="0.25">
      <c r="A142" t="s">
        <v>43</v>
      </c>
      <c r="B142" t="s">
        <v>38</v>
      </c>
      <c r="C142" t="s">
        <v>35</v>
      </c>
      <c r="D142">
        <v>2011</v>
      </c>
      <c r="E142">
        <v>11038624</v>
      </c>
      <c r="F142">
        <v>420934235947</v>
      </c>
      <c r="G142">
        <v>89.28</v>
      </c>
      <c r="H142">
        <v>91.82</v>
      </c>
      <c r="I142">
        <v>1.21</v>
      </c>
      <c r="J142">
        <v>2.3199999999999998</v>
      </c>
      <c r="K142">
        <v>8.36</v>
      </c>
      <c r="L142">
        <v>0.2</v>
      </c>
      <c r="M142">
        <v>48.23</v>
      </c>
      <c r="N142">
        <v>32.69</v>
      </c>
      <c r="O142">
        <v>1.355</v>
      </c>
      <c r="P142">
        <v>2.5990000000000002</v>
      </c>
      <c r="Q142">
        <v>9.3640000000000008</v>
      </c>
      <c r="R142">
        <v>36.615000000000002</v>
      </c>
      <c r="S142">
        <v>63.384999999999998</v>
      </c>
      <c r="T142">
        <v>192.88</v>
      </c>
      <c r="U142">
        <v>1.59</v>
      </c>
      <c r="V142">
        <v>108.6</v>
      </c>
      <c r="W142">
        <v>78.5</v>
      </c>
      <c r="X142">
        <v>27.2</v>
      </c>
    </row>
    <row r="143" spans="1:24" x14ac:dyDescent="0.25">
      <c r="A143" t="s">
        <v>43</v>
      </c>
      <c r="B143" t="s">
        <v>38</v>
      </c>
      <c r="C143" t="s">
        <v>35</v>
      </c>
      <c r="D143">
        <v>2012</v>
      </c>
      <c r="E143">
        <v>11107522</v>
      </c>
      <c r="F143">
        <v>424045845634</v>
      </c>
      <c r="G143">
        <v>81.510000000000005</v>
      </c>
      <c r="H143">
        <v>91.45</v>
      </c>
      <c r="I143">
        <v>2.15</v>
      </c>
      <c r="J143">
        <v>2.76</v>
      </c>
      <c r="K143">
        <v>10.51</v>
      </c>
      <c r="L143">
        <v>0.36</v>
      </c>
      <c r="M143">
        <v>40.29</v>
      </c>
      <c r="N143">
        <v>30.71</v>
      </c>
      <c r="O143">
        <v>2.6379999999999999</v>
      </c>
      <c r="P143">
        <v>3.3860000000000001</v>
      </c>
      <c r="Q143">
        <v>12.894</v>
      </c>
      <c r="R143">
        <v>37.676000000000002</v>
      </c>
      <c r="S143">
        <v>62.323999999999998</v>
      </c>
      <c r="T143">
        <v>202.68</v>
      </c>
      <c r="U143">
        <v>2.21</v>
      </c>
      <c r="V143">
        <v>77.7</v>
      </c>
      <c r="W143">
        <v>19</v>
      </c>
      <c r="X143">
        <v>25.7</v>
      </c>
    </row>
    <row r="144" spans="1:24" x14ac:dyDescent="0.25">
      <c r="A144" t="s">
        <v>43</v>
      </c>
      <c r="B144" t="s">
        <v>38</v>
      </c>
      <c r="C144" t="s">
        <v>35</v>
      </c>
      <c r="D144">
        <v>2013</v>
      </c>
      <c r="E144">
        <v>11160277</v>
      </c>
      <c r="F144">
        <v>425993254852</v>
      </c>
      <c r="G144">
        <v>81.95</v>
      </c>
      <c r="H144">
        <v>91.59</v>
      </c>
      <c r="I144">
        <v>2.64</v>
      </c>
      <c r="J144">
        <v>3.67</v>
      </c>
      <c r="K144">
        <v>11.72</v>
      </c>
      <c r="L144">
        <v>0.38</v>
      </c>
      <c r="M144">
        <v>42.64</v>
      </c>
      <c r="N144">
        <v>27.59</v>
      </c>
      <c r="O144">
        <v>3.2210000000000001</v>
      </c>
      <c r="P144">
        <v>4.4779999999999998</v>
      </c>
      <c r="Q144">
        <v>14.301</v>
      </c>
      <c r="R144">
        <v>33.667000000000002</v>
      </c>
      <c r="S144">
        <v>66.332999999999998</v>
      </c>
      <c r="T144">
        <v>184.26</v>
      </c>
      <c r="U144">
        <v>2.84</v>
      </c>
      <c r="V144">
        <v>22.8</v>
      </c>
      <c r="W144">
        <v>33</v>
      </c>
      <c r="X144">
        <v>11.5</v>
      </c>
    </row>
    <row r="145" spans="1:25" x14ac:dyDescent="0.25">
      <c r="A145" t="s">
        <v>43</v>
      </c>
      <c r="B145" t="s">
        <v>38</v>
      </c>
      <c r="C145" t="s">
        <v>35</v>
      </c>
      <c r="D145">
        <v>2014</v>
      </c>
      <c r="E145">
        <v>11210113</v>
      </c>
      <c r="F145">
        <v>432717694183</v>
      </c>
      <c r="G145">
        <v>71.2</v>
      </c>
      <c r="H145">
        <v>88.8</v>
      </c>
      <c r="I145">
        <v>2.89</v>
      </c>
      <c r="J145">
        <v>4.62</v>
      </c>
      <c r="K145">
        <v>12.21</v>
      </c>
      <c r="L145">
        <v>0.28999999999999998</v>
      </c>
      <c r="M145">
        <v>33.700000000000003</v>
      </c>
      <c r="N145">
        <v>25.29</v>
      </c>
      <c r="O145">
        <v>4.0590000000000002</v>
      </c>
      <c r="P145">
        <v>6.4889999999999999</v>
      </c>
      <c r="Q145">
        <v>17.149000000000001</v>
      </c>
      <c r="R145">
        <v>35.520000000000003</v>
      </c>
      <c r="S145">
        <v>64.48</v>
      </c>
      <c r="T145">
        <v>189.89</v>
      </c>
      <c r="U145">
        <v>3.38</v>
      </c>
      <c r="V145">
        <v>9.5</v>
      </c>
      <c r="W145">
        <v>25.9</v>
      </c>
      <c r="X145">
        <v>4.2</v>
      </c>
    </row>
    <row r="146" spans="1:25" x14ac:dyDescent="0.25">
      <c r="A146" t="s">
        <v>43</v>
      </c>
      <c r="B146" t="s">
        <v>38</v>
      </c>
      <c r="C146" t="s">
        <v>35</v>
      </c>
      <c r="D146">
        <v>2015</v>
      </c>
      <c r="E146">
        <v>11275332</v>
      </c>
      <c r="F146">
        <v>441551470878</v>
      </c>
      <c r="G146">
        <v>68.430000000000007</v>
      </c>
      <c r="H146">
        <v>89.43</v>
      </c>
      <c r="I146">
        <v>3.06</v>
      </c>
      <c r="J146">
        <v>5.57</v>
      </c>
      <c r="K146">
        <v>14.44</v>
      </c>
      <c r="L146">
        <v>0.32</v>
      </c>
      <c r="M146">
        <v>26.1</v>
      </c>
      <c r="N146">
        <v>27.89</v>
      </c>
      <c r="O146">
        <v>4.4720000000000004</v>
      </c>
      <c r="P146">
        <v>8.14</v>
      </c>
      <c r="Q146">
        <v>21.102</v>
      </c>
      <c r="R146">
        <v>40.756999999999998</v>
      </c>
      <c r="S146">
        <v>59.243000000000002</v>
      </c>
      <c r="T146">
        <v>215.55</v>
      </c>
      <c r="U146">
        <v>3.88</v>
      </c>
      <c r="V146">
        <v>5.9</v>
      </c>
      <c r="W146">
        <v>20.6</v>
      </c>
      <c r="X146">
        <v>18.3</v>
      </c>
    </row>
    <row r="147" spans="1:25" x14ac:dyDescent="0.25">
      <c r="A147" t="s">
        <v>43</v>
      </c>
      <c r="B147" t="s">
        <v>38</v>
      </c>
      <c r="C147" t="s">
        <v>35</v>
      </c>
      <c r="D147">
        <v>2016</v>
      </c>
      <c r="E147">
        <v>11332707</v>
      </c>
      <c r="F147">
        <v>447144517813</v>
      </c>
      <c r="G147">
        <v>84.31</v>
      </c>
      <c r="H147">
        <v>90.49</v>
      </c>
      <c r="I147">
        <v>3.1</v>
      </c>
      <c r="J147">
        <v>5.42</v>
      </c>
      <c r="K147">
        <v>14.25</v>
      </c>
      <c r="L147">
        <v>0.37</v>
      </c>
      <c r="M147">
        <v>43.52</v>
      </c>
      <c r="N147">
        <v>26.54</v>
      </c>
      <c r="O147">
        <v>3.677</v>
      </c>
      <c r="P147">
        <v>6.4290000000000003</v>
      </c>
      <c r="Q147">
        <v>16.902000000000001</v>
      </c>
      <c r="R147">
        <v>31.478999999999999</v>
      </c>
      <c r="S147">
        <v>68.521000000000001</v>
      </c>
      <c r="T147">
        <v>158.69999999999999</v>
      </c>
      <c r="U147">
        <v>3.83</v>
      </c>
      <c r="V147">
        <v>1.3</v>
      </c>
      <c r="W147">
        <v>-2.7</v>
      </c>
      <c r="X147">
        <v>-1.3</v>
      </c>
    </row>
    <row r="148" spans="1:25" x14ac:dyDescent="0.25">
      <c r="A148" t="s">
        <v>43</v>
      </c>
      <c r="B148" t="s">
        <v>38</v>
      </c>
      <c r="C148" t="s">
        <v>35</v>
      </c>
      <c r="D148">
        <v>2017</v>
      </c>
      <c r="E148">
        <v>11376583</v>
      </c>
      <c r="F148">
        <v>454386396677</v>
      </c>
      <c r="G148">
        <v>85.34</v>
      </c>
      <c r="H148">
        <v>91.36</v>
      </c>
      <c r="I148">
        <v>3.31</v>
      </c>
      <c r="J148">
        <v>6.52</v>
      </c>
      <c r="K148">
        <v>15.8</v>
      </c>
      <c r="L148">
        <v>0.27</v>
      </c>
      <c r="M148">
        <v>42.23</v>
      </c>
      <c r="N148">
        <v>27.31</v>
      </c>
      <c r="O148">
        <v>3.879</v>
      </c>
      <c r="P148">
        <v>7.64</v>
      </c>
      <c r="Q148">
        <v>18.513999999999999</v>
      </c>
      <c r="R148">
        <v>32.000999999999998</v>
      </c>
      <c r="S148">
        <v>67.998999999999995</v>
      </c>
      <c r="T148">
        <v>159.47999999999999</v>
      </c>
      <c r="U148">
        <v>4.42</v>
      </c>
      <c r="V148">
        <v>6.8</v>
      </c>
      <c r="W148">
        <v>20.3</v>
      </c>
      <c r="X148">
        <v>10.9</v>
      </c>
    </row>
    <row r="149" spans="1:25" x14ac:dyDescent="0.25">
      <c r="A149" t="s">
        <v>43</v>
      </c>
      <c r="B149" t="s">
        <v>38</v>
      </c>
      <c r="C149" t="s">
        <v>35</v>
      </c>
      <c r="D149">
        <v>2018</v>
      </c>
      <c r="E149">
        <v>11428608</v>
      </c>
      <c r="F149">
        <v>462533269863</v>
      </c>
      <c r="G149">
        <v>73.87</v>
      </c>
      <c r="H149">
        <v>91.2</v>
      </c>
      <c r="I149">
        <v>3.9</v>
      </c>
      <c r="J149">
        <v>7.57</v>
      </c>
      <c r="K149">
        <v>17.16</v>
      </c>
      <c r="L149">
        <v>0.28999999999999998</v>
      </c>
      <c r="M149">
        <v>28.6</v>
      </c>
      <c r="N149">
        <v>28.11</v>
      </c>
      <c r="O149">
        <v>5.28</v>
      </c>
      <c r="P149">
        <v>10.247999999999999</v>
      </c>
      <c r="Q149">
        <v>23.23</v>
      </c>
      <c r="R149">
        <v>38.052999999999997</v>
      </c>
      <c r="S149">
        <v>61.947000000000003</v>
      </c>
      <c r="T149">
        <v>186.95</v>
      </c>
      <c r="U149">
        <v>5.16</v>
      </c>
      <c r="V149">
        <v>17.8</v>
      </c>
      <c r="W149">
        <v>16.100000000000001</v>
      </c>
      <c r="X149">
        <v>8.6</v>
      </c>
    </row>
    <row r="150" spans="1:25" x14ac:dyDescent="0.25">
      <c r="A150" t="s">
        <v>43</v>
      </c>
      <c r="B150" t="s">
        <v>38</v>
      </c>
      <c r="C150" t="s">
        <v>35</v>
      </c>
      <c r="D150">
        <v>2019</v>
      </c>
      <c r="E150">
        <v>11490623</v>
      </c>
      <c r="F150">
        <v>472897988852</v>
      </c>
      <c r="G150">
        <v>92.69</v>
      </c>
      <c r="H150">
        <v>90.84</v>
      </c>
      <c r="I150">
        <v>4.25</v>
      </c>
      <c r="J150">
        <v>9.75</v>
      </c>
      <c r="K150">
        <v>19.45</v>
      </c>
      <c r="L150">
        <v>0.3</v>
      </c>
      <c r="M150">
        <v>43.52</v>
      </c>
      <c r="N150">
        <v>29.72</v>
      </c>
      <c r="O150">
        <v>4.585</v>
      </c>
      <c r="P150">
        <v>10.519</v>
      </c>
      <c r="Q150">
        <v>20.984000000000002</v>
      </c>
      <c r="R150">
        <v>32.064</v>
      </c>
      <c r="S150">
        <v>67.936000000000007</v>
      </c>
      <c r="T150">
        <v>156.54</v>
      </c>
      <c r="U150">
        <v>6.3</v>
      </c>
      <c r="V150">
        <v>9</v>
      </c>
      <c r="W150">
        <v>28.8</v>
      </c>
      <c r="X150">
        <v>13.3</v>
      </c>
    </row>
    <row r="151" spans="1:25" x14ac:dyDescent="0.25">
      <c r="A151" t="s">
        <v>43</v>
      </c>
      <c r="B151" t="s">
        <v>38</v>
      </c>
      <c r="C151" t="s">
        <v>35</v>
      </c>
      <c r="D151">
        <v>2020</v>
      </c>
      <c r="E151">
        <v>11540102</v>
      </c>
      <c r="F151">
        <v>447544069854</v>
      </c>
      <c r="G151">
        <v>88.29</v>
      </c>
      <c r="H151">
        <v>87.96</v>
      </c>
      <c r="I151">
        <v>5.1100000000000003</v>
      </c>
      <c r="J151">
        <v>12.81</v>
      </c>
      <c r="K151">
        <v>23.45</v>
      </c>
      <c r="L151">
        <v>0.27</v>
      </c>
      <c r="M151">
        <v>34.43</v>
      </c>
      <c r="N151">
        <v>30.41</v>
      </c>
      <c r="O151">
        <v>5.7880000000000003</v>
      </c>
      <c r="P151">
        <v>14.509</v>
      </c>
      <c r="Q151">
        <v>26.56</v>
      </c>
      <c r="R151">
        <v>34.442999999999998</v>
      </c>
      <c r="S151">
        <v>65.557000000000002</v>
      </c>
      <c r="T151">
        <v>166.61</v>
      </c>
      <c r="U151">
        <v>8.06</v>
      </c>
      <c r="V151">
        <v>20.2</v>
      </c>
      <c r="W151">
        <v>31.4</v>
      </c>
      <c r="X151">
        <v>20.6</v>
      </c>
    </row>
    <row r="152" spans="1:25" x14ac:dyDescent="0.25">
      <c r="A152" t="s">
        <v>43</v>
      </c>
      <c r="B152" t="s">
        <v>38</v>
      </c>
      <c r="C152" t="s">
        <v>35</v>
      </c>
      <c r="D152">
        <v>2021</v>
      </c>
      <c r="E152">
        <v>11570843</v>
      </c>
      <c r="F152">
        <v>474995824355</v>
      </c>
      <c r="G152">
        <v>99.4</v>
      </c>
      <c r="H152">
        <v>91.52</v>
      </c>
      <c r="I152">
        <v>5.62</v>
      </c>
      <c r="J152">
        <v>12</v>
      </c>
      <c r="K152">
        <v>22.75</v>
      </c>
      <c r="L152">
        <v>0.42</v>
      </c>
      <c r="M152">
        <v>50.33</v>
      </c>
      <c r="N152">
        <v>26.32</v>
      </c>
      <c r="O152">
        <v>5.6539999999999999</v>
      </c>
      <c r="P152">
        <v>12.071999999999999</v>
      </c>
      <c r="Q152">
        <v>22.887</v>
      </c>
      <c r="R152">
        <v>26.478999999999999</v>
      </c>
      <c r="S152">
        <v>73.521000000000001</v>
      </c>
      <c r="T152">
        <v>131.79</v>
      </c>
      <c r="U152">
        <v>7.93</v>
      </c>
      <c r="V152">
        <v>10</v>
      </c>
      <c r="W152">
        <v>-6.3</v>
      </c>
      <c r="X152">
        <v>-3</v>
      </c>
      <c r="Y152" t="s">
        <v>44</v>
      </c>
    </row>
    <row r="153" spans="1:25" x14ac:dyDescent="0.25">
      <c r="A153" t="s">
        <v>43</v>
      </c>
      <c r="B153" t="s">
        <v>38</v>
      </c>
      <c r="C153" t="s">
        <v>35</v>
      </c>
      <c r="D153">
        <v>2022</v>
      </c>
      <c r="E153">
        <v>11641814</v>
      </c>
      <c r="F153">
        <v>489678394377</v>
      </c>
      <c r="G153">
        <v>94.33</v>
      </c>
      <c r="H153">
        <v>86.8</v>
      </c>
      <c r="I153">
        <v>6.88</v>
      </c>
      <c r="J153">
        <v>12.35</v>
      </c>
      <c r="K153">
        <v>24.43</v>
      </c>
      <c r="L153">
        <v>0.27</v>
      </c>
      <c r="M153">
        <v>43.88</v>
      </c>
      <c r="N153">
        <v>26.02</v>
      </c>
      <c r="O153">
        <v>7.2939999999999996</v>
      </c>
      <c r="P153">
        <v>13.092000000000001</v>
      </c>
      <c r="Q153">
        <v>25.898</v>
      </c>
      <c r="R153">
        <v>27.584</v>
      </c>
      <c r="S153">
        <v>72.415999999999997</v>
      </c>
      <c r="T153">
        <v>139.4</v>
      </c>
      <c r="U153">
        <v>8.65</v>
      </c>
      <c r="V153">
        <v>22.4</v>
      </c>
      <c r="W153">
        <v>2.9</v>
      </c>
      <c r="X153">
        <v>7.4</v>
      </c>
    </row>
    <row r="154" spans="1:25" x14ac:dyDescent="0.25">
      <c r="A154" t="s">
        <v>43</v>
      </c>
      <c r="B154" t="s">
        <v>38</v>
      </c>
      <c r="C154" t="s">
        <v>35</v>
      </c>
      <c r="D154">
        <v>2023</v>
      </c>
      <c r="E154">
        <v>11712891</v>
      </c>
      <c r="G154">
        <v>82.13</v>
      </c>
      <c r="H154">
        <v>83.77</v>
      </c>
      <c r="I154">
        <v>7.83</v>
      </c>
      <c r="J154">
        <v>15.44</v>
      </c>
      <c r="K154">
        <v>27.46</v>
      </c>
      <c r="L154">
        <v>0.4</v>
      </c>
      <c r="M154">
        <v>32.93</v>
      </c>
      <c r="N154">
        <v>21.74</v>
      </c>
      <c r="O154">
        <v>9.5340000000000007</v>
      </c>
      <c r="P154">
        <v>18.798999999999999</v>
      </c>
      <c r="Q154">
        <v>33.435000000000002</v>
      </c>
      <c r="R154">
        <v>26.47</v>
      </c>
      <c r="S154">
        <v>73.53</v>
      </c>
      <c r="T154">
        <v>134.66999999999999</v>
      </c>
      <c r="U154">
        <v>10.47</v>
      </c>
      <c r="V154">
        <v>13.8</v>
      </c>
      <c r="W154">
        <v>25</v>
      </c>
      <c r="X154">
        <v>12.4</v>
      </c>
    </row>
    <row r="155" spans="1:25" x14ac:dyDescent="0.25">
      <c r="A155" t="s">
        <v>43</v>
      </c>
      <c r="B155" t="s">
        <v>38</v>
      </c>
      <c r="C155" t="s">
        <v>35</v>
      </c>
      <c r="D155">
        <v>2024</v>
      </c>
      <c r="E155">
        <v>11738761</v>
      </c>
      <c r="G155">
        <v>76.010000000000005</v>
      </c>
      <c r="H155">
        <v>86.35</v>
      </c>
      <c r="I155">
        <v>8.56</v>
      </c>
      <c r="J155">
        <v>14.06</v>
      </c>
      <c r="K155">
        <v>26.78</v>
      </c>
      <c r="L155">
        <v>0.55000000000000004</v>
      </c>
      <c r="M155">
        <v>31.25</v>
      </c>
      <c r="N155">
        <v>17.98</v>
      </c>
      <c r="O155">
        <v>11.262</v>
      </c>
      <c r="P155">
        <v>18.498000000000001</v>
      </c>
      <c r="Q155">
        <v>35.231999999999999</v>
      </c>
      <c r="R155">
        <v>23.655000000000001</v>
      </c>
      <c r="S155">
        <v>76.344999999999999</v>
      </c>
      <c r="T155">
        <v>126.96</v>
      </c>
      <c r="U155">
        <v>10.18</v>
      </c>
      <c r="V155">
        <v>9.3000000000000007</v>
      </c>
      <c r="W155">
        <v>-8.9</v>
      </c>
      <c r="X155">
        <v>-2.5</v>
      </c>
    </row>
    <row r="156" spans="1:25" x14ac:dyDescent="0.25">
      <c r="A156" t="s">
        <v>43</v>
      </c>
      <c r="B156" t="s">
        <v>38</v>
      </c>
      <c r="C156" t="s">
        <v>35</v>
      </c>
      <c r="D156">
        <v>2025</v>
      </c>
      <c r="E156">
        <v>11758601</v>
      </c>
      <c r="G156">
        <v>72.89</v>
      </c>
      <c r="H156">
        <v>86.56</v>
      </c>
      <c r="I156">
        <v>10.45</v>
      </c>
      <c r="J156">
        <v>13.72</v>
      </c>
      <c r="K156">
        <v>28.38</v>
      </c>
      <c r="L156">
        <v>0.44</v>
      </c>
      <c r="M156">
        <v>24.11</v>
      </c>
      <c r="N156">
        <v>20.399999999999999</v>
      </c>
      <c r="O156">
        <v>14.337</v>
      </c>
      <c r="P156">
        <v>18.823</v>
      </c>
      <c r="Q156">
        <v>38.935000000000002</v>
      </c>
      <c r="R156">
        <v>27.986999999999998</v>
      </c>
      <c r="S156">
        <v>72.013000000000005</v>
      </c>
      <c r="T156">
        <v>149.82</v>
      </c>
      <c r="U156">
        <v>10.88</v>
      </c>
      <c r="V156">
        <v>22.1</v>
      </c>
      <c r="W156">
        <v>-2.4</v>
      </c>
      <c r="X156">
        <v>6</v>
      </c>
    </row>
    <row r="157" spans="1:25" x14ac:dyDescent="0.25">
      <c r="A157" t="s">
        <v>45</v>
      </c>
      <c r="B157" t="s">
        <v>30</v>
      </c>
      <c r="C157" t="s">
        <v>31</v>
      </c>
      <c r="D157">
        <v>2000</v>
      </c>
      <c r="E157">
        <v>174018278</v>
      </c>
      <c r="F157">
        <v>1739728033832</v>
      </c>
      <c r="G157">
        <v>348.93</v>
      </c>
      <c r="H157">
        <v>391.92</v>
      </c>
      <c r="I157">
        <v>0</v>
      </c>
      <c r="J157">
        <v>0</v>
      </c>
      <c r="K157">
        <v>312.26</v>
      </c>
      <c r="L157">
        <v>304.39999999999998</v>
      </c>
      <c r="M157">
        <v>6.05</v>
      </c>
      <c r="N157">
        <v>30.62</v>
      </c>
      <c r="O157">
        <v>0</v>
      </c>
      <c r="P157">
        <v>0</v>
      </c>
      <c r="Q157">
        <v>89.491</v>
      </c>
      <c r="R157">
        <v>8.7750000000000004</v>
      </c>
      <c r="S157">
        <v>91.224999999999994</v>
      </c>
      <c r="T157">
        <v>89.45</v>
      </c>
      <c r="U157">
        <v>0</v>
      </c>
    </row>
    <row r="158" spans="1:25" x14ac:dyDescent="0.25">
      <c r="A158" t="s">
        <v>45</v>
      </c>
      <c r="B158" t="s">
        <v>30</v>
      </c>
      <c r="C158" t="s">
        <v>31</v>
      </c>
      <c r="D158">
        <v>2001</v>
      </c>
      <c r="E158">
        <v>176301201</v>
      </c>
      <c r="F158">
        <v>1785513006345</v>
      </c>
      <c r="G158">
        <v>328.55</v>
      </c>
      <c r="H158">
        <v>366.4</v>
      </c>
      <c r="I158">
        <v>0</v>
      </c>
      <c r="J158">
        <v>0.03</v>
      </c>
      <c r="K158">
        <v>276.93</v>
      </c>
      <c r="L158">
        <v>267.88</v>
      </c>
      <c r="M158">
        <v>14.28</v>
      </c>
      <c r="N158">
        <v>37.340000000000003</v>
      </c>
      <c r="O158">
        <v>0</v>
      </c>
      <c r="P158">
        <v>8.9999999999999993E-3</v>
      </c>
      <c r="Q158">
        <v>84.289000000000001</v>
      </c>
      <c r="R158">
        <v>11.365</v>
      </c>
      <c r="S158">
        <v>88.635000000000005</v>
      </c>
      <c r="T158">
        <v>105.74</v>
      </c>
      <c r="U158">
        <v>0.01</v>
      </c>
      <c r="X158">
        <v>-11.3</v>
      </c>
    </row>
    <row r="159" spans="1:25" x14ac:dyDescent="0.25">
      <c r="A159" t="s">
        <v>45</v>
      </c>
      <c r="B159" t="s">
        <v>30</v>
      </c>
      <c r="C159" t="s">
        <v>31</v>
      </c>
      <c r="D159">
        <v>2002</v>
      </c>
      <c r="E159">
        <v>178503485</v>
      </c>
      <c r="F159">
        <v>1861742323845</v>
      </c>
      <c r="G159">
        <v>345.72</v>
      </c>
      <c r="H159">
        <v>382.28</v>
      </c>
      <c r="I159">
        <v>0</v>
      </c>
      <c r="J159">
        <v>0.06</v>
      </c>
      <c r="K159">
        <v>296.42</v>
      </c>
      <c r="L159">
        <v>286.08999999999997</v>
      </c>
      <c r="M159">
        <v>13.84</v>
      </c>
      <c r="N159">
        <v>35.46</v>
      </c>
      <c r="O159">
        <v>0</v>
      </c>
      <c r="P159">
        <v>1.7000000000000001E-2</v>
      </c>
      <c r="Q159">
        <v>85.74</v>
      </c>
      <c r="R159">
        <v>10.257</v>
      </c>
      <c r="S159">
        <v>89.742999999999995</v>
      </c>
      <c r="T159">
        <v>97.3</v>
      </c>
      <c r="U159">
        <v>0.03</v>
      </c>
      <c r="W159">
        <v>100</v>
      </c>
      <c r="X159">
        <v>7</v>
      </c>
    </row>
    <row r="160" spans="1:25" x14ac:dyDescent="0.25">
      <c r="A160" t="s">
        <v>45</v>
      </c>
      <c r="B160" t="s">
        <v>30</v>
      </c>
      <c r="C160" t="s">
        <v>31</v>
      </c>
      <c r="D160">
        <v>2003</v>
      </c>
      <c r="E160">
        <v>180622688</v>
      </c>
      <c r="F160">
        <v>1904932706436</v>
      </c>
      <c r="G160">
        <v>364.39</v>
      </c>
      <c r="H160">
        <v>402.58</v>
      </c>
      <c r="I160">
        <v>0</v>
      </c>
      <c r="J160">
        <v>0.06</v>
      </c>
      <c r="K160">
        <v>317.62</v>
      </c>
      <c r="L160">
        <v>305.62</v>
      </c>
      <c r="M160">
        <v>13.36</v>
      </c>
      <c r="N160">
        <v>33.409999999999997</v>
      </c>
      <c r="O160">
        <v>0</v>
      </c>
      <c r="P160">
        <v>1.6E-2</v>
      </c>
      <c r="Q160">
        <v>87.165000000000006</v>
      </c>
      <c r="R160">
        <v>9.1690000000000005</v>
      </c>
      <c r="S160">
        <v>90.831000000000003</v>
      </c>
      <c r="T160">
        <v>90.67</v>
      </c>
      <c r="U160">
        <v>0.03</v>
      </c>
      <c r="W160">
        <v>0</v>
      </c>
      <c r="X160">
        <v>7.2</v>
      </c>
    </row>
    <row r="161" spans="1:25" x14ac:dyDescent="0.25">
      <c r="A161" t="s">
        <v>45</v>
      </c>
      <c r="B161" t="s">
        <v>30</v>
      </c>
      <c r="C161" t="s">
        <v>31</v>
      </c>
      <c r="D161">
        <v>2004</v>
      </c>
      <c r="E161">
        <v>182675144</v>
      </c>
      <c r="F161">
        <v>2038447931287</v>
      </c>
      <c r="G161">
        <v>387.49</v>
      </c>
      <c r="H161">
        <v>424.87</v>
      </c>
      <c r="I161">
        <v>0</v>
      </c>
      <c r="J161">
        <v>0.06</v>
      </c>
      <c r="K161">
        <v>333.38</v>
      </c>
      <c r="L161">
        <v>320.8</v>
      </c>
      <c r="M161">
        <v>11.61</v>
      </c>
      <c r="N161">
        <v>42.5</v>
      </c>
      <c r="O161">
        <v>0</v>
      </c>
      <c r="P161">
        <v>1.4999999999999999E-2</v>
      </c>
      <c r="Q161">
        <v>86.036000000000001</v>
      </c>
      <c r="R161">
        <v>10.968</v>
      </c>
      <c r="S161">
        <v>89.031999999999996</v>
      </c>
      <c r="T161">
        <v>101.78</v>
      </c>
      <c r="U161">
        <v>0.03</v>
      </c>
      <c r="W161">
        <v>0</v>
      </c>
      <c r="X161">
        <v>5</v>
      </c>
    </row>
    <row r="162" spans="1:25" x14ac:dyDescent="0.25">
      <c r="A162" t="s">
        <v>45</v>
      </c>
      <c r="B162" t="s">
        <v>30</v>
      </c>
      <c r="C162" t="s">
        <v>31</v>
      </c>
      <c r="D162">
        <v>2005</v>
      </c>
      <c r="E162">
        <v>184688101</v>
      </c>
      <c r="F162">
        <v>2129214530430</v>
      </c>
      <c r="G162">
        <v>403.07</v>
      </c>
      <c r="H162">
        <v>442.11</v>
      </c>
      <c r="I162">
        <v>0</v>
      </c>
      <c r="J162">
        <v>0.09</v>
      </c>
      <c r="K162">
        <v>351.19</v>
      </c>
      <c r="L162">
        <v>337.46</v>
      </c>
      <c r="M162">
        <v>9.85</v>
      </c>
      <c r="N162">
        <v>42.03</v>
      </c>
      <c r="O162">
        <v>0</v>
      </c>
      <c r="P162">
        <v>2.1999999999999999E-2</v>
      </c>
      <c r="Q162">
        <v>87.129000000000005</v>
      </c>
      <c r="R162">
        <v>10.427</v>
      </c>
      <c r="S162">
        <v>89.572999999999993</v>
      </c>
      <c r="T162">
        <v>98.89</v>
      </c>
      <c r="U162">
        <v>0.04</v>
      </c>
      <c r="W162">
        <v>50</v>
      </c>
      <c r="X162">
        <v>5.3</v>
      </c>
    </row>
    <row r="163" spans="1:25" x14ac:dyDescent="0.25">
      <c r="A163" t="s">
        <v>45</v>
      </c>
      <c r="B163" t="s">
        <v>30</v>
      </c>
      <c r="C163" t="s">
        <v>31</v>
      </c>
      <c r="D163">
        <v>2006</v>
      </c>
      <c r="E163">
        <v>186653099</v>
      </c>
      <c r="F163">
        <v>2240805319046</v>
      </c>
      <c r="G163">
        <v>419.45</v>
      </c>
      <c r="H163">
        <v>460.61</v>
      </c>
      <c r="I163">
        <v>0</v>
      </c>
      <c r="J163">
        <v>0.24</v>
      </c>
      <c r="K163">
        <v>363.89</v>
      </c>
      <c r="L163">
        <v>348.8</v>
      </c>
      <c r="M163">
        <v>13.75</v>
      </c>
      <c r="N163">
        <v>41.81</v>
      </c>
      <c r="O163">
        <v>0</v>
      </c>
      <c r="P163">
        <v>5.7000000000000002E-2</v>
      </c>
      <c r="Q163">
        <v>86.754000000000005</v>
      </c>
      <c r="R163">
        <v>9.968</v>
      </c>
      <c r="S163">
        <v>90.031999999999996</v>
      </c>
      <c r="T163">
        <v>95.96</v>
      </c>
      <c r="U163">
        <v>0.11</v>
      </c>
      <c r="W163">
        <v>166.7</v>
      </c>
      <c r="X163">
        <v>3.6</v>
      </c>
    </row>
    <row r="164" spans="1:25" x14ac:dyDescent="0.25">
      <c r="A164" t="s">
        <v>45</v>
      </c>
      <c r="B164" t="s">
        <v>30</v>
      </c>
      <c r="C164" t="s">
        <v>31</v>
      </c>
      <c r="D164">
        <v>2007</v>
      </c>
      <c r="E164">
        <v>188552311</v>
      </c>
      <c r="F164">
        <v>2405626901513</v>
      </c>
      <c r="G164">
        <v>445.15</v>
      </c>
      <c r="H164">
        <v>483.98</v>
      </c>
      <c r="I164">
        <v>0</v>
      </c>
      <c r="J164">
        <v>0.66</v>
      </c>
      <c r="K164">
        <v>392.74</v>
      </c>
      <c r="L164">
        <v>374.02</v>
      </c>
      <c r="M164">
        <v>12.35</v>
      </c>
      <c r="N164">
        <v>40.06</v>
      </c>
      <c r="O164">
        <v>0</v>
      </c>
      <c r="P164">
        <v>0.14799999999999999</v>
      </c>
      <c r="Q164">
        <v>88.225999999999999</v>
      </c>
      <c r="R164">
        <v>8.9990000000000006</v>
      </c>
      <c r="S164">
        <v>91.001000000000005</v>
      </c>
      <c r="T164">
        <v>90.91</v>
      </c>
      <c r="U164">
        <v>0.3</v>
      </c>
      <c r="W164">
        <v>175</v>
      </c>
      <c r="X164">
        <v>7.9</v>
      </c>
    </row>
    <row r="165" spans="1:25" x14ac:dyDescent="0.25">
      <c r="A165" t="s">
        <v>45</v>
      </c>
      <c r="B165" t="s">
        <v>30</v>
      </c>
      <c r="C165" t="s">
        <v>31</v>
      </c>
      <c r="D165">
        <v>2008</v>
      </c>
      <c r="E165">
        <v>190367297</v>
      </c>
      <c r="F165">
        <v>2559842659987</v>
      </c>
      <c r="G165">
        <v>463.18</v>
      </c>
      <c r="H165">
        <v>505.39</v>
      </c>
      <c r="I165">
        <v>0</v>
      </c>
      <c r="J165">
        <v>1.18</v>
      </c>
      <c r="K165">
        <v>390.53</v>
      </c>
      <c r="L165">
        <v>369.56</v>
      </c>
      <c r="M165">
        <v>13.97</v>
      </c>
      <c r="N165">
        <v>58.68</v>
      </c>
      <c r="O165">
        <v>0</v>
      </c>
      <c r="P165">
        <v>0.255</v>
      </c>
      <c r="Q165">
        <v>84.314999999999998</v>
      </c>
      <c r="R165">
        <v>12.669</v>
      </c>
      <c r="S165">
        <v>87.331000000000003</v>
      </c>
      <c r="T165">
        <v>113.63</v>
      </c>
      <c r="U165">
        <v>0.53</v>
      </c>
      <c r="W165">
        <v>78.8</v>
      </c>
      <c r="X165">
        <v>-0.6</v>
      </c>
    </row>
    <row r="166" spans="1:25" x14ac:dyDescent="0.25">
      <c r="A166" t="s">
        <v>45</v>
      </c>
      <c r="B166" t="s">
        <v>30</v>
      </c>
      <c r="C166" t="s">
        <v>31</v>
      </c>
      <c r="D166">
        <v>2009</v>
      </c>
      <c r="E166">
        <v>192079958</v>
      </c>
      <c r="F166">
        <v>2589568436235</v>
      </c>
      <c r="G166">
        <v>466.17</v>
      </c>
      <c r="H166">
        <v>506.15</v>
      </c>
      <c r="I166">
        <v>0</v>
      </c>
      <c r="J166">
        <v>1.24</v>
      </c>
      <c r="K166">
        <v>415.11</v>
      </c>
      <c r="L166">
        <v>390.99</v>
      </c>
      <c r="M166">
        <v>12.96</v>
      </c>
      <c r="N166">
        <v>38.1</v>
      </c>
      <c r="O166">
        <v>0</v>
      </c>
      <c r="P166">
        <v>0.26600000000000001</v>
      </c>
      <c r="Q166">
        <v>89.046999999999997</v>
      </c>
      <c r="R166">
        <v>8.173</v>
      </c>
      <c r="S166">
        <v>91.826999999999998</v>
      </c>
      <c r="T166">
        <v>87.37</v>
      </c>
      <c r="U166">
        <v>0.56000000000000005</v>
      </c>
      <c r="W166">
        <v>5.0999999999999996</v>
      </c>
      <c r="X166">
        <v>6.3</v>
      </c>
    </row>
    <row r="167" spans="1:25" x14ac:dyDescent="0.25">
      <c r="A167" t="s">
        <v>45</v>
      </c>
      <c r="B167" t="s">
        <v>30</v>
      </c>
      <c r="C167" t="s">
        <v>31</v>
      </c>
      <c r="D167">
        <v>2010</v>
      </c>
      <c r="E167">
        <v>193701931</v>
      </c>
      <c r="F167">
        <v>2820492538862</v>
      </c>
      <c r="G167">
        <v>515.79999999999995</v>
      </c>
      <c r="H167">
        <v>550.45000000000005</v>
      </c>
      <c r="I167">
        <v>0</v>
      </c>
      <c r="J167">
        <v>2.1800000000000002</v>
      </c>
      <c r="K167">
        <v>437.41</v>
      </c>
      <c r="L167">
        <v>403.29</v>
      </c>
      <c r="M167">
        <v>14.52</v>
      </c>
      <c r="N167">
        <v>63.87</v>
      </c>
      <c r="O167">
        <v>0</v>
      </c>
      <c r="P167">
        <v>0.42299999999999999</v>
      </c>
      <c r="Q167">
        <v>84.802000000000007</v>
      </c>
      <c r="R167">
        <v>12.382999999999999</v>
      </c>
      <c r="S167">
        <v>87.617000000000004</v>
      </c>
      <c r="T167">
        <v>114.15</v>
      </c>
      <c r="U167">
        <v>0.98</v>
      </c>
      <c r="W167">
        <v>75.8</v>
      </c>
      <c r="X167">
        <v>5.4</v>
      </c>
    </row>
    <row r="168" spans="1:25" x14ac:dyDescent="0.25">
      <c r="A168" t="s">
        <v>45</v>
      </c>
      <c r="B168" t="s">
        <v>30</v>
      </c>
      <c r="C168" t="s">
        <v>31</v>
      </c>
      <c r="D168">
        <v>2011</v>
      </c>
      <c r="E168">
        <v>195284736</v>
      </c>
      <c r="F168">
        <v>2968455007203</v>
      </c>
      <c r="G168">
        <v>531.76</v>
      </c>
      <c r="H168">
        <v>567.65</v>
      </c>
      <c r="I168">
        <v>0</v>
      </c>
      <c r="J168">
        <v>2.7</v>
      </c>
      <c r="K168">
        <v>463.66</v>
      </c>
      <c r="L168">
        <v>428.33</v>
      </c>
      <c r="M168">
        <v>15.66</v>
      </c>
      <c r="N168">
        <v>52.44</v>
      </c>
      <c r="O168">
        <v>0</v>
      </c>
      <c r="P168">
        <v>0.50800000000000001</v>
      </c>
      <c r="Q168">
        <v>87.192999999999998</v>
      </c>
      <c r="R168">
        <v>9.8620000000000001</v>
      </c>
      <c r="S168">
        <v>90.138000000000005</v>
      </c>
      <c r="T168">
        <v>99.76</v>
      </c>
      <c r="U168">
        <v>1.22</v>
      </c>
      <c r="W168">
        <v>23.9</v>
      </c>
      <c r="X168">
        <v>6</v>
      </c>
    </row>
    <row r="169" spans="1:25" x14ac:dyDescent="0.25">
      <c r="A169" t="s">
        <v>45</v>
      </c>
      <c r="B169" t="s">
        <v>30</v>
      </c>
      <c r="C169" t="s">
        <v>31</v>
      </c>
      <c r="D169">
        <v>2012</v>
      </c>
      <c r="E169">
        <v>196876113</v>
      </c>
      <c r="F169">
        <v>3025484250011</v>
      </c>
      <c r="G169">
        <v>552.5</v>
      </c>
      <c r="H169">
        <v>592.76</v>
      </c>
      <c r="I169">
        <v>0</v>
      </c>
      <c r="J169">
        <v>5.05</v>
      </c>
      <c r="K169">
        <v>456.16</v>
      </c>
      <c r="L169">
        <v>415.34</v>
      </c>
      <c r="M169">
        <v>16.04</v>
      </c>
      <c r="N169">
        <v>80.3</v>
      </c>
      <c r="O169">
        <v>0</v>
      </c>
      <c r="P169">
        <v>0.91400000000000003</v>
      </c>
      <c r="Q169">
        <v>82.563000000000002</v>
      </c>
      <c r="R169">
        <v>14.534000000000001</v>
      </c>
      <c r="S169">
        <v>85.465999999999994</v>
      </c>
      <c r="T169">
        <v>128.34</v>
      </c>
      <c r="U169">
        <v>2.27</v>
      </c>
      <c r="W169">
        <v>87</v>
      </c>
      <c r="X169">
        <v>-1.6</v>
      </c>
    </row>
    <row r="170" spans="1:25" x14ac:dyDescent="0.25">
      <c r="A170" t="s">
        <v>45</v>
      </c>
      <c r="B170" t="s">
        <v>30</v>
      </c>
      <c r="C170" t="s">
        <v>31</v>
      </c>
      <c r="D170">
        <v>2013</v>
      </c>
      <c r="E170">
        <v>198478290</v>
      </c>
      <c r="F170">
        <v>3116394665745</v>
      </c>
      <c r="G170">
        <v>570.83000000000004</v>
      </c>
      <c r="H170">
        <v>611.16</v>
      </c>
      <c r="I170">
        <v>0</v>
      </c>
      <c r="J170">
        <v>6.58</v>
      </c>
      <c r="K170">
        <v>438.54</v>
      </c>
      <c r="L170">
        <v>390.99</v>
      </c>
      <c r="M170">
        <v>15.45</v>
      </c>
      <c r="N170">
        <v>116.84</v>
      </c>
      <c r="O170">
        <v>0</v>
      </c>
      <c r="P170">
        <v>1.153</v>
      </c>
      <c r="Q170">
        <v>76.825000000000003</v>
      </c>
      <c r="R170">
        <v>20.468</v>
      </c>
      <c r="S170">
        <v>79.531999999999996</v>
      </c>
      <c r="T170">
        <v>167.84</v>
      </c>
      <c r="U170">
        <v>2.96</v>
      </c>
      <c r="W170">
        <v>30.3</v>
      </c>
      <c r="X170">
        <v>-3.9</v>
      </c>
    </row>
    <row r="171" spans="1:25" x14ac:dyDescent="0.25">
      <c r="A171" t="s">
        <v>45</v>
      </c>
      <c r="B171" t="s">
        <v>30</v>
      </c>
      <c r="C171" t="s">
        <v>31</v>
      </c>
      <c r="D171">
        <v>2014</v>
      </c>
      <c r="E171">
        <v>200085126</v>
      </c>
      <c r="F171">
        <v>3132099937531</v>
      </c>
      <c r="G171">
        <v>590.54999999999995</v>
      </c>
      <c r="H171">
        <v>624.33000000000004</v>
      </c>
      <c r="I171">
        <v>0.02</v>
      </c>
      <c r="J171">
        <v>12.21</v>
      </c>
      <c r="K171">
        <v>432.75</v>
      </c>
      <c r="L171">
        <v>373.44</v>
      </c>
      <c r="M171">
        <v>15.38</v>
      </c>
      <c r="N171">
        <v>142.41999999999999</v>
      </c>
      <c r="O171">
        <v>3.0000000000000001E-3</v>
      </c>
      <c r="P171">
        <v>2.0680000000000001</v>
      </c>
      <c r="Q171">
        <v>73.278999999999996</v>
      </c>
      <c r="R171">
        <v>24.117000000000001</v>
      </c>
      <c r="S171">
        <v>75.882999999999996</v>
      </c>
      <c r="T171">
        <v>192.94</v>
      </c>
      <c r="U171">
        <v>5.5</v>
      </c>
      <c r="W171">
        <v>85.6</v>
      </c>
      <c r="X171">
        <v>-1.3</v>
      </c>
    </row>
    <row r="172" spans="1:25" x14ac:dyDescent="0.25">
      <c r="A172" t="s">
        <v>45</v>
      </c>
      <c r="B172" t="s">
        <v>30</v>
      </c>
      <c r="C172" t="s">
        <v>31</v>
      </c>
      <c r="D172">
        <v>2015</v>
      </c>
      <c r="E172">
        <v>201675534</v>
      </c>
      <c r="F172">
        <v>3021043246476</v>
      </c>
      <c r="G172">
        <v>581.22</v>
      </c>
      <c r="H172">
        <v>615.64</v>
      </c>
      <c r="I172">
        <v>0.06</v>
      </c>
      <c r="J172">
        <v>21.63</v>
      </c>
      <c r="K172">
        <v>431.31</v>
      </c>
      <c r="L172">
        <v>359.74</v>
      </c>
      <c r="M172">
        <v>14.73</v>
      </c>
      <c r="N172">
        <v>135.18</v>
      </c>
      <c r="O172">
        <v>0.01</v>
      </c>
      <c r="P172">
        <v>3.7210000000000001</v>
      </c>
      <c r="Q172">
        <v>74.207999999999998</v>
      </c>
      <c r="R172">
        <v>23.257999999999999</v>
      </c>
      <c r="S172">
        <v>76.742000000000004</v>
      </c>
      <c r="T172">
        <v>188.64</v>
      </c>
      <c r="U172">
        <v>9.76</v>
      </c>
      <c r="V172">
        <v>200</v>
      </c>
      <c r="W172">
        <v>77.099999999999994</v>
      </c>
      <c r="X172">
        <v>-0.3</v>
      </c>
      <c r="Y172" t="s">
        <v>46</v>
      </c>
    </row>
    <row r="173" spans="1:25" x14ac:dyDescent="0.25">
      <c r="A173" t="s">
        <v>45</v>
      </c>
      <c r="B173" t="s">
        <v>30</v>
      </c>
      <c r="C173" t="s">
        <v>31</v>
      </c>
      <c r="D173">
        <v>2016</v>
      </c>
      <c r="E173">
        <v>203218108</v>
      </c>
      <c r="F173">
        <v>2922076150345</v>
      </c>
      <c r="G173">
        <v>578.89</v>
      </c>
      <c r="H173">
        <v>619.67999999999995</v>
      </c>
      <c r="I173">
        <v>0.09</v>
      </c>
      <c r="J173">
        <v>33.49</v>
      </c>
      <c r="K173">
        <v>465.82</v>
      </c>
      <c r="L173">
        <v>380.91</v>
      </c>
      <c r="M173">
        <v>15.86</v>
      </c>
      <c r="N173">
        <v>97.21</v>
      </c>
      <c r="O173">
        <v>1.6E-2</v>
      </c>
      <c r="P173">
        <v>5.7850000000000001</v>
      </c>
      <c r="Q173">
        <v>80.468000000000004</v>
      </c>
      <c r="R173">
        <v>16.792000000000002</v>
      </c>
      <c r="S173">
        <v>83.207999999999998</v>
      </c>
      <c r="T173">
        <v>149.65</v>
      </c>
      <c r="U173">
        <v>15.11</v>
      </c>
      <c r="V173">
        <v>50</v>
      </c>
      <c r="W173">
        <v>54.8</v>
      </c>
      <c r="X173">
        <v>8</v>
      </c>
    </row>
    <row r="174" spans="1:25" x14ac:dyDescent="0.25">
      <c r="A174" t="s">
        <v>45</v>
      </c>
      <c r="B174" t="s">
        <v>30</v>
      </c>
      <c r="C174" t="s">
        <v>31</v>
      </c>
      <c r="D174">
        <v>2017</v>
      </c>
      <c r="E174">
        <v>204703440</v>
      </c>
      <c r="F174">
        <v>2960731613785</v>
      </c>
      <c r="G174">
        <v>589.32000000000005</v>
      </c>
      <c r="H174">
        <v>625.66999999999996</v>
      </c>
      <c r="I174">
        <v>0.83</v>
      </c>
      <c r="J174">
        <v>42.37</v>
      </c>
      <c r="K174">
        <v>467.02</v>
      </c>
      <c r="L174">
        <v>370.91</v>
      </c>
      <c r="M174">
        <v>15.74</v>
      </c>
      <c r="N174">
        <v>106.56</v>
      </c>
      <c r="O174">
        <v>0.14099999999999999</v>
      </c>
      <c r="P174">
        <v>7.19</v>
      </c>
      <c r="Q174">
        <v>79.247</v>
      </c>
      <c r="R174">
        <v>18.082000000000001</v>
      </c>
      <c r="S174">
        <v>81.918000000000006</v>
      </c>
      <c r="T174">
        <v>155.88</v>
      </c>
      <c r="U174">
        <v>19.440000000000001</v>
      </c>
      <c r="V174">
        <v>822.2</v>
      </c>
      <c r="W174">
        <v>26.5</v>
      </c>
      <c r="X174">
        <v>0.3</v>
      </c>
    </row>
    <row r="175" spans="1:25" x14ac:dyDescent="0.25">
      <c r="A175" t="s">
        <v>45</v>
      </c>
      <c r="B175" t="s">
        <v>30</v>
      </c>
      <c r="C175" t="s">
        <v>31</v>
      </c>
      <c r="D175">
        <v>2018</v>
      </c>
      <c r="E175">
        <v>206107265</v>
      </c>
      <c r="F175">
        <v>3013541086239</v>
      </c>
      <c r="G175">
        <v>601.39</v>
      </c>
      <c r="H175">
        <v>636.37</v>
      </c>
      <c r="I175">
        <v>3.46</v>
      </c>
      <c r="J175">
        <v>48.48</v>
      </c>
      <c r="K175">
        <v>495.29</v>
      </c>
      <c r="L175">
        <v>388.97</v>
      </c>
      <c r="M175">
        <v>15.67</v>
      </c>
      <c r="N175">
        <v>90.43</v>
      </c>
      <c r="O175">
        <v>0.57499999999999996</v>
      </c>
      <c r="P175">
        <v>8.0609999999999999</v>
      </c>
      <c r="Q175">
        <v>82.358000000000004</v>
      </c>
      <c r="R175">
        <v>15.037000000000001</v>
      </c>
      <c r="S175">
        <v>84.962999999999994</v>
      </c>
      <c r="T175">
        <v>136.94999999999999</v>
      </c>
      <c r="U175">
        <v>23.37</v>
      </c>
      <c r="V175">
        <v>316.89999999999998</v>
      </c>
      <c r="W175">
        <v>14.4</v>
      </c>
      <c r="X175">
        <v>6.1</v>
      </c>
    </row>
    <row r="176" spans="1:25" x14ac:dyDescent="0.25">
      <c r="A176" t="s">
        <v>45</v>
      </c>
      <c r="B176" t="s">
        <v>30</v>
      </c>
      <c r="C176" t="s">
        <v>31</v>
      </c>
      <c r="D176">
        <v>2019</v>
      </c>
      <c r="E176">
        <v>207455459</v>
      </c>
      <c r="F176">
        <v>3050327159562</v>
      </c>
      <c r="G176">
        <v>633.33000000000004</v>
      </c>
      <c r="H176">
        <v>658.29</v>
      </c>
      <c r="I176">
        <v>6.65</v>
      </c>
      <c r="J176">
        <v>55.99</v>
      </c>
      <c r="K176">
        <v>515.44000000000005</v>
      </c>
      <c r="L176">
        <v>397.88</v>
      </c>
      <c r="M176">
        <v>16.13</v>
      </c>
      <c r="N176">
        <v>101.76</v>
      </c>
      <c r="O176">
        <v>1.05</v>
      </c>
      <c r="P176">
        <v>8.8409999999999993</v>
      </c>
      <c r="Q176">
        <v>81.385999999999996</v>
      </c>
      <c r="R176">
        <v>16.067</v>
      </c>
      <c r="S176">
        <v>83.933000000000007</v>
      </c>
      <c r="T176">
        <v>141.93</v>
      </c>
      <c r="U176">
        <v>28.19</v>
      </c>
      <c r="V176">
        <v>92.2</v>
      </c>
      <c r="W176">
        <v>15.5</v>
      </c>
      <c r="X176">
        <v>4.0999999999999996</v>
      </c>
    </row>
    <row r="177" spans="1:24" x14ac:dyDescent="0.25">
      <c r="A177" t="s">
        <v>45</v>
      </c>
      <c r="B177" t="s">
        <v>30</v>
      </c>
      <c r="C177" t="s">
        <v>31</v>
      </c>
      <c r="D177">
        <v>2020</v>
      </c>
      <c r="E177">
        <v>208660845</v>
      </c>
      <c r="F177">
        <v>2950377451264</v>
      </c>
      <c r="G177">
        <v>628.76</v>
      </c>
      <c r="H177">
        <v>653.48</v>
      </c>
      <c r="I177">
        <v>10.75</v>
      </c>
      <c r="J177">
        <v>57.05</v>
      </c>
      <c r="K177">
        <v>522.91999999999996</v>
      </c>
      <c r="L177">
        <v>396.38</v>
      </c>
      <c r="M177">
        <v>14.05</v>
      </c>
      <c r="N177">
        <v>91.79</v>
      </c>
      <c r="O177">
        <v>1.71</v>
      </c>
      <c r="P177">
        <v>9.0730000000000004</v>
      </c>
      <c r="Q177">
        <v>83.167000000000002</v>
      </c>
      <c r="R177">
        <v>14.599</v>
      </c>
      <c r="S177">
        <v>85.400999999999996</v>
      </c>
      <c r="T177">
        <v>133.36000000000001</v>
      </c>
      <c r="U177">
        <v>30.51</v>
      </c>
      <c r="V177">
        <v>61.7</v>
      </c>
      <c r="W177">
        <v>1.9</v>
      </c>
      <c r="X177">
        <v>1.5</v>
      </c>
    </row>
    <row r="178" spans="1:24" x14ac:dyDescent="0.25">
      <c r="A178" t="s">
        <v>45</v>
      </c>
      <c r="B178" t="s">
        <v>30</v>
      </c>
      <c r="C178" t="s">
        <v>31</v>
      </c>
      <c r="D178">
        <v>2021</v>
      </c>
      <c r="E178">
        <v>209550291</v>
      </c>
      <c r="F178">
        <v>3097565215045</v>
      </c>
      <c r="G178">
        <v>656.4</v>
      </c>
      <c r="H178">
        <v>679.5</v>
      </c>
      <c r="I178">
        <v>16.75</v>
      </c>
      <c r="J178">
        <v>72.290000000000006</v>
      </c>
      <c r="K178">
        <v>507.87</v>
      </c>
      <c r="L178">
        <v>362.82</v>
      </c>
      <c r="M178">
        <v>14.7</v>
      </c>
      <c r="N178">
        <v>133.83000000000001</v>
      </c>
      <c r="O178">
        <v>2.552</v>
      </c>
      <c r="P178">
        <v>11.013</v>
      </c>
      <c r="Q178">
        <v>77.372</v>
      </c>
      <c r="R178">
        <v>20.388000000000002</v>
      </c>
      <c r="S178">
        <v>79.611999999999995</v>
      </c>
      <c r="T178">
        <v>168.07</v>
      </c>
      <c r="U178">
        <v>40.07</v>
      </c>
      <c r="V178">
        <v>55.8</v>
      </c>
      <c r="W178">
        <v>26.7</v>
      </c>
      <c r="X178">
        <v>-2.9</v>
      </c>
    </row>
    <row r="179" spans="1:24" x14ac:dyDescent="0.25">
      <c r="A179" t="s">
        <v>45</v>
      </c>
      <c r="B179" t="s">
        <v>30</v>
      </c>
      <c r="C179" t="s">
        <v>31</v>
      </c>
      <c r="D179">
        <v>2022</v>
      </c>
      <c r="E179">
        <v>210306411</v>
      </c>
      <c r="F179">
        <v>3187412907763</v>
      </c>
      <c r="G179">
        <v>677.16</v>
      </c>
      <c r="H179">
        <v>690.07</v>
      </c>
      <c r="I179">
        <v>30.13</v>
      </c>
      <c r="J179">
        <v>81.63</v>
      </c>
      <c r="K179">
        <v>593.89</v>
      </c>
      <c r="L179">
        <v>427.11</v>
      </c>
      <c r="M179">
        <v>14.56</v>
      </c>
      <c r="N179">
        <v>68.709999999999994</v>
      </c>
      <c r="O179">
        <v>4.4489999999999998</v>
      </c>
      <c r="P179">
        <v>12.055</v>
      </c>
      <c r="Q179">
        <v>87.703000000000003</v>
      </c>
      <c r="R179">
        <v>10.147</v>
      </c>
      <c r="S179">
        <v>89.852999999999994</v>
      </c>
      <c r="T179">
        <v>103.39</v>
      </c>
      <c r="U179">
        <v>50.29</v>
      </c>
      <c r="V179">
        <v>79.900000000000006</v>
      </c>
      <c r="W179">
        <v>12.9</v>
      </c>
      <c r="X179">
        <v>16.899999999999999</v>
      </c>
    </row>
    <row r="180" spans="1:24" x14ac:dyDescent="0.25">
      <c r="A180" t="s">
        <v>45</v>
      </c>
      <c r="B180" t="s">
        <v>30</v>
      </c>
      <c r="C180" t="s">
        <v>31</v>
      </c>
      <c r="D180">
        <v>2023</v>
      </c>
      <c r="E180">
        <v>211140731</v>
      </c>
      <c r="G180">
        <v>708.12</v>
      </c>
      <c r="H180">
        <v>723.23</v>
      </c>
      <c r="I180">
        <v>50.63</v>
      </c>
      <c r="J180">
        <v>95.8</v>
      </c>
      <c r="K180">
        <v>630.19000000000005</v>
      </c>
      <c r="L180">
        <v>426</v>
      </c>
      <c r="M180">
        <v>14.5</v>
      </c>
      <c r="N180">
        <v>63.43</v>
      </c>
      <c r="O180">
        <v>7.15</v>
      </c>
      <c r="P180">
        <v>13.529</v>
      </c>
      <c r="Q180">
        <v>88.995000000000005</v>
      </c>
      <c r="R180">
        <v>8.9580000000000002</v>
      </c>
      <c r="S180">
        <v>91.042000000000002</v>
      </c>
      <c r="T180">
        <v>96.26</v>
      </c>
      <c r="U180">
        <v>65.89</v>
      </c>
      <c r="V180">
        <v>68</v>
      </c>
      <c r="W180">
        <v>17.399999999999999</v>
      </c>
      <c r="X180">
        <v>6.1</v>
      </c>
    </row>
    <row r="181" spans="1:24" x14ac:dyDescent="0.25">
      <c r="A181" t="s">
        <v>45</v>
      </c>
      <c r="B181" t="s">
        <v>30</v>
      </c>
      <c r="C181" t="s">
        <v>31</v>
      </c>
      <c r="D181">
        <v>2024</v>
      </c>
      <c r="E181">
        <v>211998565</v>
      </c>
      <c r="G181">
        <v>745.72</v>
      </c>
      <c r="H181">
        <v>757.31</v>
      </c>
      <c r="I181">
        <v>71.319999999999993</v>
      </c>
      <c r="J181">
        <v>108.49</v>
      </c>
      <c r="K181">
        <v>651.26</v>
      </c>
      <c r="L181">
        <v>413.21</v>
      </c>
      <c r="M181">
        <v>15.78</v>
      </c>
      <c r="N181">
        <v>78.680000000000007</v>
      </c>
      <c r="O181">
        <v>9.5640000000000001</v>
      </c>
      <c r="P181">
        <v>14.548</v>
      </c>
      <c r="Q181">
        <v>87.332999999999998</v>
      </c>
      <c r="R181">
        <v>10.551</v>
      </c>
      <c r="S181">
        <v>89.448999999999998</v>
      </c>
      <c r="T181">
        <v>106.06</v>
      </c>
      <c r="U181">
        <v>80.91</v>
      </c>
      <c r="V181">
        <v>40.9</v>
      </c>
      <c r="W181">
        <v>13.2</v>
      </c>
      <c r="X181">
        <v>3.3</v>
      </c>
    </row>
    <row r="182" spans="1:24" x14ac:dyDescent="0.25">
      <c r="A182" t="s">
        <v>45</v>
      </c>
      <c r="B182" t="s">
        <v>30</v>
      </c>
      <c r="C182" t="s">
        <v>31</v>
      </c>
      <c r="D182">
        <v>2025</v>
      </c>
      <c r="E182">
        <v>212812397</v>
      </c>
      <c r="G182">
        <v>750.53</v>
      </c>
      <c r="H182">
        <v>762.12</v>
      </c>
      <c r="I182">
        <v>88.64</v>
      </c>
      <c r="J182">
        <v>117.58</v>
      </c>
      <c r="K182">
        <v>649.97</v>
      </c>
      <c r="L182">
        <v>388.63</v>
      </c>
      <c r="M182">
        <v>15.87</v>
      </c>
      <c r="N182">
        <v>84.69</v>
      </c>
      <c r="O182">
        <v>11.81</v>
      </c>
      <c r="P182">
        <v>15.666</v>
      </c>
      <c r="Q182">
        <v>86.600999999999999</v>
      </c>
      <c r="R182">
        <v>11.284000000000001</v>
      </c>
      <c r="S182">
        <v>88.715999999999994</v>
      </c>
      <c r="T182">
        <v>109.95</v>
      </c>
      <c r="U182">
        <v>92.8</v>
      </c>
      <c r="V182">
        <v>24.3</v>
      </c>
      <c r="W182">
        <v>8.4</v>
      </c>
      <c r="X182">
        <v>-0.2</v>
      </c>
    </row>
    <row r="183" spans="1:24" x14ac:dyDescent="0.25">
      <c r="A183" t="s">
        <v>47</v>
      </c>
      <c r="B183" t="s">
        <v>48</v>
      </c>
      <c r="C183" t="s">
        <v>35</v>
      </c>
      <c r="D183">
        <v>2000</v>
      </c>
      <c r="E183">
        <v>30891800</v>
      </c>
      <c r="F183">
        <v>1137681278760</v>
      </c>
      <c r="G183">
        <v>603.82000000000005</v>
      </c>
      <c r="H183">
        <v>567.99</v>
      </c>
      <c r="I183">
        <v>0.02</v>
      </c>
      <c r="J183">
        <v>0.26</v>
      </c>
      <c r="K183">
        <v>365.96</v>
      </c>
      <c r="L183">
        <v>356.76</v>
      </c>
      <c r="M183">
        <v>72.290000000000006</v>
      </c>
      <c r="N183">
        <v>165.57</v>
      </c>
      <c r="O183">
        <v>3.0000000000000001E-3</v>
      </c>
      <c r="P183">
        <v>4.2999999999999997E-2</v>
      </c>
      <c r="Q183">
        <v>60.606999999999999</v>
      </c>
      <c r="R183">
        <v>27.42</v>
      </c>
      <c r="S183">
        <v>72.58</v>
      </c>
      <c r="T183">
        <v>245.69</v>
      </c>
      <c r="U183">
        <v>0.13</v>
      </c>
    </row>
    <row r="184" spans="1:24" x14ac:dyDescent="0.25">
      <c r="A184" t="s">
        <v>47</v>
      </c>
      <c r="B184" t="s">
        <v>48</v>
      </c>
      <c r="C184" t="s">
        <v>35</v>
      </c>
      <c r="D184">
        <v>2001</v>
      </c>
      <c r="E184">
        <v>31213578</v>
      </c>
      <c r="F184">
        <v>1161459919261</v>
      </c>
      <c r="G184">
        <v>587.76</v>
      </c>
      <c r="H184">
        <v>565.46</v>
      </c>
      <c r="I184">
        <v>0.02</v>
      </c>
      <c r="J184">
        <v>0.33</v>
      </c>
      <c r="K184">
        <v>341.54</v>
      </c>
      <c r="L184">
        <v>331.52</v>
      </c>
      <c r="M184">
        <v>76.16</v>
      </c>
      <c r="N184">
        <v>170.06</v>
      </c>
      <c r="O184">
        <v>3.0000000000000001E-3</v>
      </c>
      <c r="P184">
        <v>5.6000000000000001E-2</v>
      </c>
      <c r="Q184">
        <v>58.109000000000002</v>
      </c>
      <c r="R184">
        <v>28.934000000000001</v>
      </c>
      <c r="S184">
        <v>71.066000000000003</v>
      </c>
      <c r="T184">
        <v>255.65</v>
      </c>
      <c r="U184">
        <v>0.16</v>
      </c>
      <c r="V184">
        <v>0</v>
      </c>
      <c r="W184">
        <v>26.9</v>
      </c>
      <c r="X184">
        <v>-6.7</v>
      </c>
    </row>
    <row r="185" spans="1:24" x14ac:dyDescent="0.25">
      <c r="A185" t="s">
        <v>47</v>
      </c>
      <c r="B185" t="s">
        <v>48</v>
      </c>
      <c r="C185" t="s">
        <v>35</v>
      </c>
      <c r="D185">
        <v>2002</v>
      </c>
      <c r="E185">
        <v>31535579</v>
      </c>
      <c r="F185">
        <v>1199865635264</v>
      </c>
      <c r="G185">
        <v>599.79</v>
      </c>
      <c r="H185">
        <v>578.48</v>
      </c>
      <c r="I185">
        <v>0.02</v>
      </c>
      <c r="J185">
        <v>0.41</v>
      </c>
      <c r="K185">
        <v>359.75</v>
      </c>
      <c r="L185">
        <v>349.27</v>
      </c>
      <c r="M185">
        <v>75</v>
      </c>
      <c r="N185">
        <v>165.04</v>
      </c>
      <c r="O185">
        <v>3.0000000000000001E-3</v>
      </c>
      <c r="P185">
        <v>6.8000000000000005E-2</v>
      </c>
      <c r="Q185">
        <v>59.978999999999999</v>
      </c>
      <c r="R185">
        <v>27.515999999999998</v>
      </c>
      <c r="S185">
        <v>72.483999999999995</v>
      </c>
      <c r="T185">
        <v>245.12</v>
      </c>
      <c r="U185">
        <v>0.19</v>
      </c>
      <c r="V185">
        <v>0</v>
      </c>
      <c r="W185">
        <v>24.2</v>
      </c>
      <c r="X185">
        <v>5.3</v>
      </c>
    </row>
    <row r="186" spans="1:24" x14ac:dyDescent="0.25">
      <c r="A186" t="s">
        <v>47</v>
      </c>
      <c r="B186" t="s">
        <v>48</v>
      </c>
      <c r="C186" t="s">
        <v>35</v>
      </c>
      <c r="D186">
        <v>2003</v>
      </c>
      <c r="E186">
        <v>31836483</v>
      </c>
      <c r="F186">
        <v>1224575760991</v>
      </c>
      <c r="G186">
        <v>588.27</v>
      </c>
      <c r="H186">
        <v>582.53</v>
      </c>
      <c r="I186">
        <v>0.02</v>
      </c>
      <c r="J186">
        <v>0.69</v>
      </c>
      <c r="K186">
        <v>346.27</v>
      </c>
      <c r="L186">
        <v>336.14</v>
      </c>
      <c r="M186">
        <v>74.37</v>
      </c>
      <c r="N186">
        <v>167.63</v>
      </c>
      <c r="O186">
        <v>3.0000000000000001E-3</v>
      </c>
      <c r="P186">
        <v>0.11700000000000001</v>
      </c>
      <c r="Q186">
        <v>58.862000000000002</v>
      </c>
      <c r="R186">
        <v>28.495000000000001</v>
      </c>
      <c r="S186">
        <v>71.504999999999995</v>
      </c>
      <c r="T186">
        <v>251.64</v>
      </c>
      <c r="U186">
        <v>0.32</v>
      </c>
      <c r="V186">
        <v>0</v>
      </c>
      <c r="W186">
        <v>68.3</v>
      </c>
      <c r="X186">
        <v>-3.7</v>
      </c>
    </row>
    <row r="187" spans="1:24" x14ac:dyDescent="0.25">
      <c r="A187" t="s">
        <v>47</v>
      </c>
      <c r="B187" t="s">
        <v>48</v>
      </c>
      <c r="C187" t="s">
        <v>35</v>
      </c>
      <c r="D187">
        <v>2004</v>
      </c>
      <c r="E187">
        <v>32132680</v>
      </c>
      <c r="F187">
        <v>1265917327101</v>
      </c>
      <c r="G187">
        <v>598.5</v>
      </c>
      <c r="H187">
        <v>587.97</v>
      </c>
      <c r="I187">
        <v>0.01</v>
      </c>
      <c r="J187">
        <v>0.94</v>
      </c>
      <c r="K187">
        <v>349.15</v>
      </c>
      <c r="L187">
        <v>338.4</v>
      </c>
      <c r="M187">
        <v>89.76</v>
      </c>
      <c r="N187">
        <v>159.59</v>
      </c>
      <c r="O187">
        <v>2E-3</v>
      </c>
      <c r="P187">
        <v>0.157</v>
      </c>
      <c r="Q187">
        <v>58.338000000000001</v>
      </c>
      <c r="R187">
        <v>26.664999999999999</v>
      </c>
      <c r="S187">
        <v>73.334999999999994</v>
      </c>
      <c r="T187">
        <v>235.34</v>
      </c>
      <c r="U187">
        <v>0.43</v>
      </c>
      <c r="V187">
        <v>-50</v>
      </c>
      <c r="W187">
        <v>36.200000000000003</v>
      </c>
      <c r="X187">
        <v>0.8</v>
      </c>
    </row>
    <row r="188" spans="1:24" x14ac:dyDescent="0.25">
      <c r="A188" t="s">
        <v>47</v>
      </c>
      <c r="B188" t="s">
        <v>48</v>
      </c>
      <c r="C188" t="s">
        <v>35</v>
      </c>
      <c r="D188">
        <v>2005</v>
      </c>
      <c r="E188">
        <v>32440172</v>
      </c>
      <c r="F188">
        <v>1310077836124</v>
      </c>
      <c r="G188">
        <v>620.5</v>
      </c>
      <c r="H188">
        <v>596.65</v>
      </c>
      <c r="I188">
        <v>0.02</v>
      </c>
      <c r="J188">
        <v>1.57</v>
      </c>
      <c r="K188">
        <v>372.71</v>
      </c>
      <c r="L188">
        <v>361.96</v>
      </c>
      <c r="M188">
        <v>91.4</v>
      </c>
      <c r="N188">
        <v>156.38999999999999</v>
      </c>
      <c r="O188">
        <v>3.0000000000000001E-3</v>
      </c>
      <c r="P188">
        <v>0.253</v>
      </c>
      <c r="Q188">
        <v>60.066000000000003</v>
      </c>
      <c r="R188">
        <v>25.204000000000001</v>
      </c>
      <c r="S188">
        <v>74.796000000000006</v>
      </c>
      <c r="T188">
        <v>225.01</v>
      </c>
      <c r="U188">
        <v>0.72</v>
      </c>
      <c r="V188">
        <v>100</v>
      </c>
      <c r="W188">
        <v>67</v>
      </c>
      <c r="X188">
        <v>6.7</v>
      </c>
    </row>
    <row r="189" spans="1:24" x14ac:dyDescent="0.25">
      <c r="A189" t="s">
        <v>47</v>
      </c>
      <c r="B189" t="s">
        <v>48</v>
      </c>
      <c r="C189" t="s">
        <v>35</v>
      </c>
      <c r="D189">
        <v>2006</v>
      </c>
      <c r="E189">
        <v>32759174</v>
      </c>
      <c r="F189">
        <v>1348293394113</v>
      </c>
      <c r="G189">
        <v>608.42999999999995</v>
      </c>
      <c r="H189">
        <v>589.32000000000005</v>
      </c>
      <c r="I189">
        <v>0.02</v>
      </c>
      <c r="J189">
        <v>2.4700000000000002</v>
      </c>
      <c r="K189">
        <v>364.32</v>
      </c>
      <c r="L189">
        <v>352.89</v>
      </c>
      <c r="M189">
        <v>97.28</v>
      </c>
      <c r="N189">
        <v>146.83000000000001</v>
      </c>
      <c r="O189">
        <v>3.0000000000000001E-3</v>
      </c>
      <c r="P189">
        <v>0.40600000000000003</v>
      </c>
      <c r="Q189">
        <v>59.878999999999998</v>
      </c>
      <c r="R189">
        <v>24.132999999999999</v>
      </c>
      <c r="S189">
        <v>75.867000000000004</v>
      </c>
      <c r="T189">
        <v>216.51</v>
      </c>
      <c r="U189">
        <v>1.1200000000000001</v>
      </c>
      <c r="V189">
        <v>0</v>
      </c>
      <c r="W189">
        <v>57.3</v>
      </c>
      <c r="X189">
        <v>-2.2999999999999998</v>
      </c>
    </row>
    <row r="190" spans="1:24" x14ac:dyDescent="0.25">
      <c r="A190" t="s">
        <v>47</v>
      </c>
      <c r="B190" t="s">
        <v>48</v>
      </c>
      <c r="C190" t="s">
        <v>35</v>
      </c>
      <c r="D190">
        <v>2007</v>
      </c>
      <c r="E190">
        <v>33092171</v>
      </c>
      <c r="F190">
        <v>1379925831954</v>
      </c>
      <c r="G190">
        <v>634.19000000000005</v>
      </c>
      <c r="H190">
        <v>603.24</v>
      </c>
      <c r="I190">
        <v>0.03</v>
      </c>
      <c r="J190">
        <v>3.01</v>
      </c>
      <c r="K190">
        <v>379.65</v>
      </c>
      <c r="L190">
        <v>367.62</v>
      </c>
      <c r="M190">
        <v>92.83</v>
      </c>
      <c r="N190">
        <v>161.71</v>
      </c>
      <c r="O190">
        <v>5.0000000000000001E-3</v>
      </c>
      <c r="P190">
        <v>0.47499999999999998</v>
      </c>
      <c r="Q190">
        <v>59.863999999999997</v>
      </c>
      <c r="R190">
        <v>25.498999999999999</v>
      </c>
      <c r="S190">
        <v>74.501000000000005</v>
      </c>
      <c r="T190">
        <v>227.76</v>
      </c>
      <c r="U190">
        <v>1.37</v>
      </c>
      <c r="V190">
        <v>50</v>
      </c>
      <c r="W190">
        <v>21.9</v>
      </c>
      <c r="X190">
        <v>4.2</v>
      </c>
    </row>
    <row r="191" spans="1:24" x14ac:dyDescent="0.25">
      <c r="A191" t="s">
        <v>47</v>
      </c>
      <c r="B191" t="s">
        <v>48</v>
      </c>
      <c r="C191" t="s">
        <v>35</v>
      </c>
      <c r="D191">
        <v>2008</v>
      </c>
      <c r="E191">
        <v>33449088</v>
      </c>
      <c r="F191">
        <v>1397938727409</v>
      </c>
      <c r="G191">
        <v>635.11</v>
      </c>
      <c r="H191">
        <v>602.95000000000005</v>
      </c>
      <c r="I191">
        <v>0.04</v>
      </c>
      <c r="J191">
        <v>3.79</v>
      </c>
      <c r="K191">
        <v>389.3</v>
      </c>
      <c r="L191">
        <v>377.49</v>
      </c>
      <c r="M191">
        <v>95.35</v>
      </c>
      <c r="N191">
        <v>150.46</v>
      </c>
      <c r="O191">
        <v>6.0000000000000001E-3</v>
      </c>
      <c r="P191">
        <v>0.59699999999999998</v>
      </c>
      <c r="Q191">
        <v>61.295999999999999</v>
      </c>
      <c r="R191">
        <v>23.69</v>
      </c>
      <c r="S191">
        <v>76.31</v>
      </c>
      <c r="T191">
        <v>213.48</v>
      </c>
      <c r="U191">
        <v>1.72</v>
      </c>
      <c r="V191">
        <v>33.299999999999997</v>
      </c>
      <c r="W191">
        <v>25.9</v>
      </c>
      <c r="X191">
        <v>2.5</v>
      </c>
    </row>
    <row r="192" spans="1:24" x14ac:dyDescent="0.25">
      <c r="A192" t="s">
        <v>47</v>
      </c>
      <c r="B192" t="s">
        <v>48</v>
      </c>
      <c r="C192" t="s">
        <v>35</v>
      </c>
      <c r="D192">
        <v>2009</v>
      </c>
      <c r="E192">
        <v>33826370</v>
      </c>
      <c r="F192">
        <v>1360538049277</v>
      </c>
      <c r="G192">
        <v>613.87</v>
      </c>
      <c r="H192">
        <v>580.25</v>
      </c>
      <c r="I192">
        <v>0.11</v>
      </c>
      <c r="J192">
        <v>6.64</v>
      </c>
      <c r="K192">
        <v>384.38</v>
      </c>
      <c r="L192">
        <v>368.69</v>
      </c>
      <c r="M192">
        <v>89.46</v>
      </c>
      <c r="N192">
        <v>140.03</v>
      </c>
      <c r="O192">
        <v>1.7999999999999999E-2</v>
      </c>
      <c r="P192">
        <v>1.0820000000000001</v>
      </c>
      <c r="Q192">
        <v>62.616</v>
      </c>
      <c r="R192">
        <v>22.811</v>
      </c>
      <c r="S192">
        <v>77.188999999999993</v>
      </c>
      <c r="T192">
        <v>204.33</v>
      </c>
      <c r="U192">
        <v>3.04</v>
      </c>
      <c r="V192">
        <v>175</v>
      </c>
      <c r="W192">
        <v>75.2</v>
      </c>
      <c r="X192">
        <v>-1.3</v>
      </c>
    </row>
    <row r="193" spans="1:25" x14ac:dyDescent="0.25">
      <c r="A193" t="s">
        <v>47</v>
      </c>
      <c r="B193" t="s">
        <v>48</v>
      </c>
      <c r="C193" t="s">
        <v>35</v>
      </c>
      <c r="D193">
        <v>2010</v>
      </c>
      <c r="E193">
        <v>34196900</v>
      </c>
      <c r="F193">
        <v>1406355361431</v>
      </c>
      <c r="G193">
        <v>607.03</v>
      </c>
      <c r="H193">
        <v>582.01</v>
      </c>
      <c r="I193">
        <v>0.26</v>
      </c>
      <c r="J193">
        <v>8.7200000000000006</v>
      </c>
      <c r="K193">
        <v>370.67</v>
      </c>
      <c r="L193">
        <v>351.39</v>
      </c>
      <c r="M193">
        <v>90.03</v>
      </c>
      <c r="N193">
        <v>146.33000000000001</v>
      </c>
      <c r="O193">
        <v>4.2999999999999997E-2</v>
      </c>
      <c r="P193">
        <v>1.4370000000000001</v>
      </c>
      <c r="Q193">
        <v>61.063000000000002</v>
      </c>
      <c r="R193">
        <v>24.106000000000002</v>
      </c>
      <c r="S193">
        <v>75.894000000000005</v>
      </c>
      <c r="T193">
        <v>214.78</v>
      </c>
      <c r="U193">
        <v>4.04</v>
      </c>
      <c r="V193">
        <v>136.4</v>
      </c>
      <c r="W193">
        <v>31.3</v>
      </c>
      <c r="X193">
        <v>-3.6</v>
      </c>
    </row>
    <row r="194" spans="1:25" x14ac:dyDescent="0.25">
      <c r="A194" t="s">
        <v>47</v>
      </c>
      <c r="B194" t="s">
        <v>48</v>
      </c>
      <c r="C194" t="s">
        <v>35</v>
      </c>
      <c r="D194">
        <v>2011</v>
      </c>
      <c r="E194">
        <v>34555449</v>
      </c>
      <c r="F194">
        <v>1454221365109</v>
      </c>
      <c r="G194">
        <v>638.27</v>
      </c>
      <c r="H194">
        <v>601.59</v>
      </c>
      <c r="I194">
        <v>0.56999999999999995</v>
      </c>
      <c r="J194">
        <v>10.19</v>
      </c>
      <c r="K194">
        <v>396.69</v>
      </c>
      <c r="L194">
        <v>375.72</v>
      </c>
      <c r="M194">
        <v>92.94</v>
      </c>
      <c r="N194">
        <v>148.63999999999999</v>
      </c>
      <c r="O194">
        <v>8.8999999999999996E-2</v>
      </c>
      <c r="P194">
        <v>1.597</v>
      </c>
      <c r="Q194">
        <v>62.151000000000003</v>
      </c>
      <c r="R194">
        <v>23.288</v>
      </c>
      <c r="S194">
        <v>76.712000000000003</v>
      </c>
      <c r="T194">
        <v>206.18</v>
      </c>
      <c r="U194">
        <v>4.84</v>
      </c>
      <c r="V194">
        <v>119.2</v>
      </c>
      <c r="W194">
        <v>16.899999999999999</v>
      </c>
      <c r="X194">
        <v>7</v>
      </c>
    </row>
    <row r="195" spans="1:25" x14ac:dyDescent="0.25">
      <c r="A195" t="s">
        <v>47</v>
      </c>
      <c r="B195" t="s">
        <v>48</v>
      </c>
      <c r="C195" t="s">
        <v>35</v>
      </c>
      <c r="D195">
        <v>2012</v>
      </c>
      <c r="E195">
        <v>34922513</v>
      </c>
      <c r="F195">
        <v>1479829523672</v>
      </c>
      <c r="G195">
        <v>636.54</v>
      </c>
      <c r="H195">
        <v>589.79</v>
      </c>
      <c r="I195">
        <v>0.88</v>
      </c>
      <c r="J195">
        <v>11.31</v>
      </c>
      <c r="K195">
        <v>403.37</v>
      </c>
      <c r="L195">
        <v>380.27</v>
      </c>
      <c r="M195">
        <v>94.2</v>
      </c>
      <c r="N195">
        <v>138.97</v>
      </c>
      <c r="O195">
        <v>0.13800000000000001</v>
      </c>
      <c r="P195">
        <v>1.7769999999999999</v>
      </c>
      <c r="Q195">
        <v>63.369</v>
      </c>
      <c r="R195">
        <v>21.832000000000001</v>
      </c>
      <c r="S195">
        <v>78.168000000000006</v>
      </c>
      <c r="T195">
        <v>193.39</v>
      </c>
      <c r="U195">
        <v>5.49</v>
      </c>
      <c r="V195">
        <v>54.4</v>
      </c>
      <c r="W195">
        <v>11</v>
      </c>
      <c r="X195">
        <v>1.7</v>
      </c>
    </row>
    <row r="196" spans="1:25" x14ac:dyDescent="0.25">
      <c r="A196" t="s">
        <v>47</v>
      </c>
      <c r="B196" t="s">
        <v>48</v>
      </c>
      <c r="C196" t="s">
        <v>35</v>
      </c>
      <c r="D196">
        <v>2013</v>
      </c>
      <c r="E196">
        <v>35293421</v>
      </c>
      <c r="F196">
        <v>1514296485427</v>
      </c>
      <c r="G196">
        <v>655.69</v>
      </c>
      <c r="H196">
        <v>603.80999999999995</v>
      </c>
      <c r="I196">
        <v>1.5</v>
      </c>
      <c r="J196">
        <v>11.15</v>
      </c>
      <c r="K196">
        <v>415.48</v>
      </c>
      <c r="L196">
        <v>391.79</v>
      </c>
      <c r="M196">
        <v>102.72</v>
      </c>
      <c r="N196">
        <v>137.49</v>
      </c>
      <c r="O196">
        <v>0.22900000000000001</v>
      </c>
      <c r="P196">
        <v>1.7</v>
      </c>
      <c r="Q196">
        <v>63.365000000000002</v>
      </c>
      <c r="R196">
        <v>20.969000000000001</v>
      </c>
      <c r="S196">
        <v>79.031000000000006</v>
      </c>
      <c r="T196">
        <v>186.96</v>
      </c>
      <c r="U196">
        <v>5.69</v>
      </c>
      <c r="V196">
        <v>70.5</v>
      </c>
      <c r="W196">
        <v>-1.4</v>
      </c>
      <c r="X196">
        <v>3</v>
      </c>
    </row>
    <row r="197" spans="1:25" x14ac:dyDescent="0.25">
      <c r="A197" t="s">
        <v>47</v>
      </c>
      <c r="B197" t="s">
        <v>48</v>
      </c>
      <c r="C197" t="s">
        <v>35</v>
      </c>
      <c r="D197">
        <v>2014</v>
      </c>
      <c r="E197">
        <v>35634265</v>
      </c>
      <c r="F197">
        <v>1557757464897</v>
      </c>
      <c r="G197">
        <v>652.97</v>
      </c>
      <c r="H197">
        <v>607.36</v>
      </c>
      <c r="I197">
        <v>2.12</v>
      </c>
      <c r="J197">
        <v>12.82</v>
      </c>
      <c r="K197">
        <v>407.24</v>
      </c>
      <c r="L197">
        <v>382.5</v>
      </c>
      <c r="M197">
        <v>106.54</v>
      </c>
      <c r="N197">
        <v>139.19</v>
      </c>
      <c r="O197">
        <v>0.32500000000000001</v>
      </c>
      <c r="P197">
        <v>1.9630000000000001</v>
      </c>
      <c r="Q197">
        <v>62.366999999999997</v>
      </c>
      <c r="R197">
        <v>21.315999999999999</v>
      </c>
      <c r="S197">
        <v>78.683999999999997</v>
      </c>
      <c r="T197">
        <v>188.86</v>
      </c>
      <c r="U197">
        <v>6.72</v>
      </c>
      <c r="V197">
        <v>41.3</v>
      </c>
      <c r="W197">
        <v>15</v>
      </c>
      <c r="X197">
        <v>-2</v>
      </c>
    </row>
    <row r="198" spans="1:25" x14ac:dyDescent="0.25">
      <c r="A198" t="s">
        <v>47</v>
      </c>
      <c r="B198" t="s">
        <v>48</v>
      </c>
      <c r="C198" t="s">
        <v>35</v>
      </c>
      <c r="D198">
        <v>2015</v>
      </c>
      <c r="E198">
        <v>35962236</v>
      </c>
      <c r="F198">
        <v>1568025782105</v>
      </c>
      <c r="G198">
        <v>661.08</v>
      </c>
      <c r="H198">
        <v>601.54999999999995</v>
      </c>
      <c r="I198">
        <v>2.89</v>
      </c>
      <c r="J198">
        <v>26.97</v>
      </c>
      <c r="K198">
        <v>422.04</v>
      </c>
      <c r="L198">
        <v>382.19</v>
      </c>
      <c r="M198">
        <v>101.1</v>
      </c>
      <c r="N198">
        <v>137.94</v>
      </c>
      <c r="O198">
        <v>0.437</v>
      </c>
      <c r="P198">
        <v>4.08</v>
      </c>
      <c r="Q198">
        <v>63.841000000000001</v>
      </c>
      <c r="R198">
        <v>20.866</v>
      </c>
      <c r="S198">
        <v>79.134</v>
      </c>
      <c r="T198">
        <v>184.37</v>
      </c>
      <c r="U198">
        <v>13.44</v>
      </c>
      <c r="V198">
        <v>36.299999999999997</v>
      </c>
      <c r="W198">
        <v>110.4</v>
      </c>
      <c r="X198">
        <v>3.6</v>
      </c>
    </row>
    <row r="199" spans="1:25" x14ac:dyDescent="0.25">
      <c r="A199" t="s">
        <v>47</v>
      </c>
      <c r="B199" t="s">
        <v>48</v>
      </c>
      <c r="C199" t="s">
        <v>35</v>
      </c>
      <c r="D199">
        <v>2016</v>
      </c>
      <c r="E199">
        <v>36353345</v>
      </c>
      <c r="F199">
        <v>1583727974022</v>
      </c>
      <c r="G199">
        <v>667.13</v>
      </c>
      <c r="H199">
        <v>603.33000000000004</v>
      </c>
      <c r="I199">
        <v>3.01</v>
      </c>
      <c r="J199">
        <v>30.93</v>
      </c>
      <c r="K199">
        <v>430.73</v>
      </c>
      <c r="L199">
        <v>385.43</v>
      </c>
      <c r="M199">
        <v>100.72</v>
      </c>
      <c r="N199">
        <v>135.68</v>
      </c>
      <c r="O199">
        <v>0.45100000000000001</v>
      </c>
      <c r="P199">
        <v>4.6360000000000001</v>
      </c>
      <c r="Q199">
        <v>64.564999999999998</v>
      </c>
      <c r="R199">
        <v>20.338000000000001</v>
      </c>
      <c r="S199">
        <v>79.662000000000006</v>
      </c>
      <c r="T199">
        <v>180.88</v>
      </c>
      <c r="U199">
        <v>15.27</v>
      </c>
      <c r="V199">
        <v>4.2</v>
      </c>
      <c r="W199">
        <v>14.7</v>
      </c>
      <c r="X199">
        <v>2.1</v>
      </c>
      <c r="Y199" t="s">
        <v>49</v>
      </c>
    </row>
    <row r="200" spans="1:25" x14ac:dyDescent="0.25">
      <c r="A200" t="s">
        <v>47</v>
      </c>
      <c r="B200" t="s">
        <v>48</v>
      </c>
      <c r="C200" t="s">
        <v>35</v>
      </c>
      <c r="D200">
        <v>2017</v>
      </c>
      <c r="E200">
        <v>36808498</v>
      </c>
      <c r="F200">
        <v>1631871440185</v>
      </c>
      <c r="G200">
        <v>669.35</v>
      </c>
      <c r="H200">
        <v>607.11</v>
      </c>
      <c r="I200">
        <v>3.31</v>
      </c>
      <c r="J200">
        <v>31.51</v>
      </c>
      <c r="K200">
        <v>440.56</v>
      </c>
      <c r="L200">
        <v>394.59</v>
      </c>
      <c r="M200">
        <v>100.6</v>
      </c>
      <c r="N200">
        <v>128.19</v>
      </c>
      <c r="O200">
        <v>0.495</v>
      </c>
      <c r="P200">
        <v>4.7080000000000002</v>
      </c>
      <c r="Q200">
        <v>65.819000000000003</v>
      </c>
      <c r="R200">
        <v>19.151</v>
      </c>
      <c r="S200">
        <v>80.849000000000004</v>
      </c>
      <c r="T200">
        <v>172.06</v>
      </c>
      <c r="U200">
        <v>15.67</v>
      </c>
      <c r="V200">
        <v>10</v>
      </c>
      <c r="W200">
        <v>1.9</v>
      </c>
      <c r="X200">
        <v>2.2999999999999998</v>
      </c>
    </row>
    <row r="201" spans="1:25" x14ac:dyDescent="0.25">
      <c r="A201" t="s">
        <v>47</v>
      </c>
      <c r="B201" t="s">
        <v>48</v>
      </c>
      <c r="C201" t="s">
        <v>35</v>
      </c>
      <c r="D201">
        <v>2018</v>
      </c>
      <c r="E201">
        <v>37294996</v>
      </c>
      <c r="F201">
        <v>1677189073139</v>
      </c>
      <c r="G201">
        <v>661.2</v>
      </c>
      <c r="H201">
        <v>613</v>
      </c>
      <c r="I201">
        <v>3.49</v>
      </c>
      <c r="J201">
        <v>33.47</v>
      </c>
      <c r="K201">
        <v>433.39</v>
      </c>
      <c r="L201">
        <v>385.89</v>
      </c>
      <c r="M201">
        <v>100.03</v>
      </c>
      <c r="N201">
        <v>127.78</v>
      </c>
      <c r="O201">
        <v>0.52800000000000002</v>
      </c>
      <c r="P201">
        <v>5.0620000000000003</v>
      </c>
      <c r="Q201">
        <v>65.546000000000006</v>
      </c>
      <c r="R201">
        <v>19.324999999999999</v>
      </c>
      <c r="S201">
        <v>80.674999999999997</v>
      </c>
      <c r="T201">
        <v>170.86</v>
      </c>
      <c r="U201">
        <v>16.63</v>
      </c>
      <c r="V201">
        <v>5.4</v>
      </c>
      <c r="W201">
        <v>6.2</v>
      </c>
      <c r="X201">
        <v>-1.6</v>
      </c>
    </row>
    <row r="202" spans="1:25" x14ac:dyDescent="0.25">
      <c r="A202" t="s">
        <v>47</v>
      </c>
      <c r="B202" t="s">
        <v>48</v>
      </c>
      <c r="C202" t="s">
        <v>35</v>
      </c>
      <c r="D202">
        <v>2019</v>
      </c>
      <c r="E202">
        <v>37782934</v>
      </c>
      <c r="F202">
        <v>1708858221312</v>
      </c>
      <c r="G202">
        <v>655.7</v>
      </c>
      <c r="H202">
        <v>608.62</v>
      </c>
      <c r="I202">
        <v>3.75</v>
      </c>
      <c r="J202">
        <v>32.880000000000003</v>
      </c>
      <c r="K202">
        <v>428.71</v>
      </c>
      <c r="L202">
        <v>381.77</v>
      </c>
      <c r="M202">
        <v>100.49</v>
      </c>
      <c r="N202">
        <v>126.5</v>
      </c>
      <c r="O202">
        <v>0.57199999999999995</v>
      </c>
      <c r="P202">
        <v>5.0140000000000002</v>
      </c>
      <c r="Q202">
        <v>65.382000000000005</v>
      </c>
      <c r="R202">
        <v>19.292000000000002</v>
      </c>
      <c r="S202">
        <v>80.707999999999998</v>
      </c>
      <c r="T202">
        <v>169.99</v>
      </c>
      <c r="U202">
        <v>16.48</v>
      </c>
      <c r="V202">
        <v>7.4</v>
      </c>
      <c r="W202">
        <v>-1.8</v>
      </c>
      <c r="X202">
        <v>-1.1000000000000001</v>
      </c>
    </row>
    <row r="203" spans="1:25" x14ac:dyDescent="0.25">
      <c r="A203" t="s">
        <v>47</v>
      </c>
      <c r="B203" t="s">
        <v>48</v>
      </c>
      <c r="C203" t="s">
        <v>35</v>
      </c>
      <c r="D203">
        <v>2020</v>
      </c>
      <c r="E203">
        <v>38171903</v>
      </c>
      <c r="F203">
        <v>1622144486274</v>
      </c>
      <c r="G203">
        <v>655.89</v>
      </c>
      <c r="H203">
        <v>598.25</v>
      </c>
      <c r="I203">
        <v>4.07</v>
      </c>
      <c r="J203">
        <v>35.76</v>
      </c>
      <c r="K203">
        <v>436.79</v>
      </c>
      <c r="L203">
        <v>386.55</v>
      </c>
      <c r="M203">
        <v>97.51</v>
      </c>
      <c r="N203">
        <v>121.59</v>
      </c>
      <c r="O203">
        <v>0.621</v>
      </c>
      <c r="P203">
        <v>5.452</v>
      </c>
      <c r="Q203">
        <v>66.594999999999999</v>
      </c>
      <c r="R203">
        <v>18.538</v>
      </c>
      <c r="S203">
        <v>81.462000000000003</v>
      </c>
      <c r="T203">
        <v>161.69</v>
      </c>
      <c r="U203">
        <v>17.920000000000002</v>
      </c>
      <c r="V203">
        <v>8.5</v>
      </c>
      <c r="W203">
        <v>8.8000000000000007</v>
      </c>
      <c r="X203">
        <v>1.9</v>
      </c>
    </row>
    <row r="204" spans="1:25" x14ac:dyDescent="0.25">
      <c r="A204" t="s">
        <v>47</v>
      </c>
      <c r="B204" t="s">
        <v>48</v>
      </c>
      <c r="C204" t="s">
        <v>35</v>
      </c>
      <c r="D204">
        <v>2021</v>
      </c>
      <c r="E204">
        <v>38454058</v>
      </c>
      <c r="F204">
        <v>1703443269914</v>
      </c>
      <c r="G204">
        <v>652.4</v>
      </c>
      <c r="H204">
        <v>605.11</v>
      </c>
      <c r="I204">
        <v>5.1100000000000003</v>
      </c>
      <c r="J204">
        <v>37.299999999999997</v>
      </c>
      <c r="K204">
        <v>435.39</v>
      </c>
      <c r="L204">
        <v>382.43</v>
      </c>
      <c r="M204">
        <v>91.98</v>
      </c>
      <c r="N204">
        <v>125.03</v>
      </c>
      <c r="O204">
        <v>0.78300000000000003</v>
      </c>
      <c r="P204">
        <v>5.7169999999999996</v>
      </c>
      <c r="Q204">
        <v>66.736999999999995</v>
      </c>
      <c r="R204">
        <v>19.164999999999999</v>
      </c>
      <c r="S204">
        <v>80.834999999999994</v>
      </c>
      <c r="T204">
        <v>165.37</v>
      </c>
      <c r="U204">
        <v>19.079999999999998</v>
      </c>
      <c r="V204">
        <v>25.6</v>
      </c>
      <c r="W204">
        <v>4.3</v>
      </c>
      <c r="X204">
        <v>-0.3</v>
      </c>
    </row>
    <row r="205" spans="1:25" x14ac:dyDescent="0.25">
      <c r="A205" t="s">
        <v>47</v>
      </c>
      <c r="B205" t="s">
        <v>48</v>
      </c>
      <c r="C205" t="s">
        <v>35</v>
      </c>
      <c r="D205">
        <v>2022</v>
      </c>
      <c r="E205">
        <v>38821259</v>
      </c>
      <c r="F205">
        <v>1761295624423</v>
      </c>
      <c r="G205">
        <v>664.08</v>
      </c>
      <c r="H205">
        <v>612.97</v>
      </c>
      <c r="I205">
        <v>5.74</v>
      </c>
      <c r="J205">
        <v>39.479999999999997</v>
      </c>
      <c r="K205">
        <v>452.47</v>
      </c>
      <c r="L205">
        <v>397.73</v>
      </c>
      <c r="M205">
        <v>86.63</v>
      </c>
      <c r="N205">
        <v>124.98</v>
      </c>
      <c r="O205">
        <v>0.86399999999999999</v>
      </c>
      <c r="P205">
        <v>5.9450000000000003</v>
      </c>
      <c r="Q205">
        <v>68.135000000000005</v>
      </c>
      <c r="R205">
        <v>18.82</v>
      </c>
      <c r="S205">
        <v>81.180000000000007</v>
      </c>
      <c r="T205">
        <v>160.6</v>
      </c>
      <c r="U205">
        <v>20.350000000000001</v>
      </c>
      <c r="V205">
        <v>12.3</v>
      </c>
      <c r="W205">
        <v>5.8</v>
      </c>
      <c r="X205">
        <v>3.9</v>
      </c>
    </row>
    <row r="206" spans="1:25" x14ac:dyDescent="0.25">
      <c r="A206" t="s">
        <v>47</v>
      </c>
      <c r="B206" t="s">
        <v>48</v>
      </c>
      <c r="C206" t="s">
        <v>35</v>
      </c>
      <c r="D206">
        <v>2023</v>
      </c>
      <c r="E206">
        <v>39299098</v>
      </c>
      <c r="G206">
        <v>641.39</v>
      </c>
      <c r="H206">
        <v>613.63</v>
      </c>
      <c r="I206">
        <v>8.4</v>
      </c>
      <c r="J206">
        <v>40.51</v>
      </c>
      <c r="K206">
        <v>419.45</v>
      </c>
      <c r="L206">
        <v>360.74</v>
      </c>
      <c r="M206">
        <v>88.43</v>
      </c>
      <c r="N206">
        <v>133.51</v>
      </c>
      <c r="O206">
        <v>1.31</v>
      </c>
      <c r="P206">
        <v>6.3159999999999998</v>
      </c>
      <c r="Q206">
        <v>65.397000000000006</v>
      </c>
      <c r="R206">
        <v>20.815999999999999</v>
      </c>
      <c r="S206">
        <v>79.183999999999997</v>
      </c>
      <c r="T206">
        <v>174.37</v>
      </c>
      <c r="U206">
        <v>22.01</v>
      </c>
      <c r="V206">
        <v>46.3</v>
      </c>
      <c r="W206">
        <v>2.6</v>
      </c>
      <c r="X206">
        <v>-7.3</v>
      </c>
    </row>
    <row r="207" spans="1:25" x14ac:dyDescent="0.25">
      <c r="A207" t="s">
        <v>47</v>
      </c>
      <c r="B207" t="s">
        <v>48</v>
      </c>
      <c r="C207" t="s">
        <v>35</v>
      </c>
      <c r="D207">
        <v>2024</v>
      </c>
      <c r="E207">
        <v>39742429</v>
      </c>
      <c r="G207">
        <v>636.79</v>
      </c>
      <c r="H207">
        <v>624.36</v>
      </c>
      <c r="I207">
        <v>9.42</v>
      </c>
      <c r="J207">
        <v>46.83</v>
      </c>
      <c r="K207">
        <v>409.28</v>
      </c>
      <c r="L207">
        <v>343.2</v>
      </c>
      <c r="M207">
        <v>85.47</v>
      </c>
      <c r="N207">
        <v>142.04</v>
      </c>
      <c r="O207">
        <v>1.4790000000000001</v>
      </c>
      <c r="P207">
        <v>7.3540000000000001</v>
      </c>
      <c r="Q207">
        <v>64.272000000000006</v>
      </c>
      <c r="R207">
        <v>22.306000000000001</v>
      </c>
      <c r="S207">
        <v>77.694000000000003</v>
      </c>
      <c r="T207">
        <v>185.35</v>
      </c>
      <c r="U207">
        <v>25.31</v>
      </c>
      <c r="V207">
        <v>12.1</v>
      </c>
      <c r="W207">
        <v>15.6</v>
      </c>
      <c r="X207">
        <v>-2.4</v>
      </c>
    </row>
    <row r="208" spans="1:25" x14ac:dyDescent="0.25">
      <c r="A208" t="s">
        <v>47</v>
      </c>
      <c r="B208" t="s">
        <v>48</v>
      </c>
      <c r="C208" t="s">
        <v>35</v>
      </c>
      <c r="D208">
        <v>2025</v>
      </c>
      <c r="E208">
        <v>40126728</v>
      </c>
      <c r="G208">
        <v>652.44000000000005</v>
      </c>
      <c r="H208">
        <v>645.64</v>
      </c>
      <c r="I208">
        <v>10.17</v>
      </c>
      <c r="J208">
        <v>51.48</v>
      </c>
      <c r="K208">
        <v>416.91</v>
      </c>
      <c r="L208">
        <v>344.74</v>
      </c>
      <c r="M208">
        <v>85.32</v>
      </c>
      <c r="N208">
        <v>150.21</v>
      </c>
      <c r="O208">
        <v>1.5589999999999999</v>
      </c>
      <c r="P208">
        <v>7.89</v>
      </c>
      <c r="Q208">
        <v>63.9</v>
      </c>
      <c r="R208">
        <v>23.023</v>
      </c>
      <c r="S208">
        <v>76.977000000000004</v>
      </c>
      <c r="T208">
        <v>190.72</v>
      </c>
      <c r="U208">
        <v>27.74</v>
      </c>
      <c r="V208">
        <v>8</v>
      </c>
      <c r="W208">
        <v>9.9</v>
      </c>
      <c r="X208">
        <v>1.9</v>
      </c>
    </row>
    <row r="209" spans="1:24" x14ac:dyDescent="0.25">
      <c r="A209" t="s">
        <v>50</v>
      </c>
      <c r="B209" t="s">
        <v>30</v>
      </c>
      <c r="C209" t="s">
        <v>35</v>
      </c>
      <c r="D209">
        <v>2000</v>
      </c>
      <c r="E209">
        <v>15503638</v>
      </c>
      <c r="F209">
        <v>233340518904</v>
      </c>
      <c r="G209">
        <v>41.12</v>
      </c>
      <c r="H209">
        <v>42.31</v>
      </c>
      <c r="I209">
        <v>0</v>
      </c>
      <c r="J209">
        <v>0</v>
      </c>
      <c r="K209">
        <v>20.49</v>
      </c>
      <c r="L209">
        <v>19.55</v>
      </c>
      <c r="M209">
        <v>0</v>
      </c>
      <c r="N209">
        <v>20.63</v>
      </c>
      <c r="O209">
        <v>0</v>
      </c>
      <c r="P209">
        <v>0</v>
      </c>
      <c r="Q209">
        <v>49.83</v>
      </c>
      <c r="R209">
        <v>50.17</v>
      </c>
      <c r="S209">
        <v>49.83</v>
      </c>
      <c r="T209">
        <v>388.13</v>
      </c>
      <c r="U209">
        <v>0</v>
      </c>
    </row>
    <row r="210" spans="1:24" x14ac:dyDescent="0.25">
      <c r="A210" t="s">
        <v>50</v>
      </c>
      <c r="B210" t="s">
        <v>30</v>
      </c>
      <c r="C210" t="s">
        <v>35</v>
      </c>
      <c r="D210">
        <v>2001</v>
      </c>
      <c r="E210">
        <v>15683852</v>
      </c>
      <c r="F210">
        <v>239642803054</v>
      </c>
      <c r="G210">
        <v>42.32</v>
      </c>
      <c r="H210">
        <v>43.71</v>
      </c>
      <c r="I210">
        <v>0</v>
      </c>
      <c r="J210">
        <v>0.01</v>
      </c>
      <c r="K210">
        <v>22.87</v>
      </c>
      <c r="L210">
        <v>20.79</v>
      </c>
      <c r="M210">
        <v>0</v>
      </c>
      <c r="N210">
        <v>19.45</v>
      </c>
      <c r="O210">
        <v>0</v>
      </c>
      <c r="P210">
        <v>2.4E-2</v>
      </c>
      <c r="Q210">
        <v>54.040999999999997</v>
      </c>
      <c r="R210">
        <v>45.959000000000003</v>
      </c>
      <c r="S210">
        <v>54.040999999999997</v>
      </c>
      <c r="T210">
        <v>336.48</v>
      </c>
      <c r="U210">
        <v>0</v>
      </c>
      <c r="X210">
        <v>11.6</v>
      </c>
    </row>
    <row r="211" spans="1:24" x14ac:dyDescent="0.25">
      <c r="A211" t="s">
        <v>50</v>
      </c>
      <c r="B211" t="s">
        <v>30</v>
      </c>
      <c r="C211" t="s">
        <v>35</v>
      </c>
      <c r="D211">
        <v>2002</v>
      </c>
      <c r="E211">
        <v>15857926</v>
      </c>
      <c r="F211">
        <v>243288829547</v>
      </c>
      <c r="G211">
        <v>43.44</v>
      </c>
      <c r="H211">
        <v>45.25</v>
      </c>
      <c r="I211">
        <v>0</v>
      </c>
      <c r="J211">
        <v>0.01</v>
      </c>
      <c r="K211">
        <v>23.99</v>
      </c>
      <c r="L211">
        <v>22.04</v>
      </c>
      <c r="M211">
        <v>0</v>
      </c>
      <c r="N211">
        <v>19.45</v>
      </c>
      <c r="O211">
        <v>0</v>
      </c>
      <c r="P211">
        <v>2.3E-2</v>
      </c>
      <c r="Q211">
        <v>55.225999999999999</v>
      </c>
      <c r="R211">
        <v>44.774000000000001</v>
      </c>
      <c r="S211">
        <v>55.225999999999999</v>
      </c>
      <c r="T211">
        <v>330.11</v>
      </c>
      <c r="U211">
        <v>0</v>
      </c>
      <c r="W211">
        <v>0</v>
      </c>
      <c r="X211">
        <v>4.9000000000000004</v>
      </c>
    </row>
    <row r="212" spans="1:24" x14ac:dyDescent="0.25">
      <c r="A212" t="s">
        <v>50</v>
      </c>
      <c r="B212" t="s">
        <v>30</v>
      </c>
      <c r="C212" t="s">
        <v>35</v>
      </c>
      <c r="D212">
        <v>2003</v>
      </c>
      <c r="E212">
        <v>16024755</v>
      </c>
      <c r="F212">
        <v>250723122339</v>
      </c>
      <c r="G212">
        <v>46.63</v>
      </c>
      <c r="H212">
        <v>48.58</v>
      </c>
      <c r="I212">
        <v>0</v>
      </c>
      <c r="J212">
        <v>0.01</v>
      </c>
      <c r="K212">
        <v>23.28</v>
      </c>
      <c r="L212">
        <v>21.46</v>
      </c>
      <c r="M212">
        <v>0</v>
      </c>
      <c r="N212">
        <v>23.35</v>
      </c>
      <c r="O212">
        <v>0</v>
      </c>
      <c r="P212">
        <v>2.1000000000000001E-2</v>
      </c>
      <c r="Q212">
        <v>49.924999999999997</v>
      </c>
      <c r="R212">
        <v>50.075000000000003</v>
      </c>
      <c r="S212">
        <v>49.924999999999997</v>
      </c>
      <c r="T212">
        <v>355.35</v>
      </c>
      <c r="U212">
        <v>0</v>
      </c>
      <c r="W212">
        <v>0</v>
      </c>
      <c r="X212">
        <v>-3</v>
      </c>
    </row>
    <row r="213" spans="1:24" x14ac:dyDescent="0.25">
      <c r="A213" t="s">
        <v>50</v>
      </c>
      <c r="B213" t="s">
        <v>30</v>
      </c>
      <c r="C213" t="s">
        <v>35</v>
      </c>
      <c r="D213">
        <v>2004</v>
      </c>
      <c r="E213">
        <v>16187324</v>
      </c>
      <c r="F213">
        <v>264146071325</v>
      </c>
      <c r="G213">
        <v>51</v>
      </c>
      <c r="H213">
        <v>52.9</v>
      </c>
      <c r="I213">
        <v>0</v>
      </c>
      <c r="J213">
        <v>0.01</v>
      </c>
      <c r="K213">
        <v>23.8</v>
      </c>
      <c r="L213">
        <v>21.76</v>
      </c>
      <c r="M213">
        <v>0</v>
      </c>
      <c r="N213">
        <v>27.2</v>
      </c>
      <c r="O213">
        <v>0</v>
      </c>
      <c r="P213">
        <v>0.02</v>
      </c>
      <c r="Q213">
        <v>46.667000000000002</v>
      </c>
      <c r="R213">
        <v>53.332999999999998</v>
      </c>
      <c r="S213">
        <v>46.667000000000002</v>
      </c>
      <c r="T213">
        <v>391.77</v>
      </c>
      <c r="U213">
        <v>0</v>
      </c>
      <c r="W213">
        <v>0</v>
      </c>
      <c r="X213">
        <v>2.2000000000000002</v>
      </c>
    </row>
    <row r="214" spans="1:24" x14ac:dyDescent="0.25">
      <c r="A214" t="s">
        <v>50</v>
      </c>
      <c r="B214" t="s">
        <v>30</v>
      </c>
      <c r="C214" t="s">
        <v>35</v>
      </c>
      <c r="D214">
        <v>2005</v>
      </c>
      <c r="E214">
        <v>16348780</v>
      </c>
      <c r="F214">
        <v>278000705012</v>
      </c>
      <c r="G214">
        <v>52.22</v>
      </c>
      <c r="H214">
        <v>54.37</v>
      </c>
      <c r="I214">
        <v>0</v>
      </c>
      <c r="J214">
        <v>0.01</v>
      </c>
      <c r="K214">
        <v>28.02</v>
      </c>
      <c r="L214">
        <v>26.22</v>
      </c>
      <c r="M214">
        <v>0</v>
      </c>
      <c r="N214">
        <v>24.2</v>
      </c>
      <c r="O214">
        <v>0</v>
      </c>
      <c r="P214">
        <v>1.9E-2</v>
      </c>
      <c r="Q214">
        <v>53.658000000000001</v>
      </c>
      <c r="R214">
        <v>46.341999999999999</v>
      </c>
      <c r="S214">
        <v>53.658000000000001</v>
      </c>
      <c r="T214">
        <v>347.57</v>
      </c>
      <c r="U214">
        <v>0</v>
      </c>
      <c r="W214">
        <v>0</v>
      </c>
      <c r="X214">
        <v>17.7</v>
      </c>
    </row>
    <row r="215" spans="1:24" x14ac:dyDescent="0.25">
      <c r="A215" t="s">
        <v>50</v>
      </c>
      <c r="B215" t="s">
        <v>30</v>
      </c>
      <c r="C215" t="s">
        <v>35</v>
      </c>
      <c r="D215">
        <v>2006</v>
      </c>
      <c r="E215">
        <v>16509195</v>
      </c>
      <c r="F215">
        <v>293258343549</v>
      </c>
      <c r="G215">
        <v>55.04</v>
      </c>
      <c r="H215">
        <v>57.33</v>
      </c>
      <c r="I215">
        <v>0</v>
      </c>
      <c r="J215">
        <v>0.01</v>
      </c>
      <c r="K215">
        <v>30.28</v>
      </c>
      <c r="L215">
        <v>28.84</v>
      </c>
      <c r="M215">
        <v>0</v>
      </c>
      <c r="N215">
        <v>24.76</v>
      </c>
      <c r="O215">
        <v>0</v>
      </c>
      <c r="P215">
        <v>1.7999999999999999E-2</v>
      </c>
      <c r="Q215">
        <v>55.015000000000001</v>
      </c>
      <c r="R215">
        <v>44.984999999999999</v>
      </c>
      <c r="S215">
        <v>55.015000000000001</v>
      </c>
      <c r="T215">
        <v>355.38</v>
      </c>
      <c r="U215">
        <v>0</v>
      </c>
      <c r="W215">
        <v>0</v>
      </c>
      <c r="X215">
        <v>8.1</v>
      </c>
    </row>
    <row r="216" spans="1:24" x14ac:dyDescent="0.25">
      <c r="A216" t="s">
        <v>50</v>
      </c>
      <c r="B216" t="s">
        <v>30</v>
      </c>
      <c r="C216" t="s">
        <v>35</v>
      </c>
      <c r="D216">
        <v>2007</v>
      </c>
      <c r="E216">
        <v>16671571</v>
      </c>
      <c r="F216">
        <v>305709457316</v>
      </c>
      <c r="G216">
        <v>58.28</v>
      </c>
      <c r="H216">
        <v>59.91</v>
      </c>
      <c r="I216">
        <v>0</v>
      </c>
      <c r="J216">
        <v>0.01</v>
      </c>
      <c r="K216">
        <v>25.61</v>
      </c>
      <c r="L216">
        <v>22.9</v>
      </c>
      <c r="M216">
        <v>0</v>
      </c>
      <c r="N216">
        <v>32.67</v>
      </c>
      <c r="O216">
        <v>0</v>
      </c>
      <c r="P216">
        <v>1.7000000000000001E-2</v>
      </c>
      <c r="Q216">
        <v>43.942999999999998</v>
      </c>
      <c r="R216">
        <v>56.057000000000002</v>
      </c>
      <c r="S216">
        <v>43.942999999999998</v>
      </c>
      <c r="T216">
        <v>456.93</v>
      </c>
      <c r="U216">
        <v>0</v>
      </c>
      <c r="W216">
        <v>0</v>
      </c>
      <c r="X216">
        <v>-15.4</v>
      </c>
    </row>
    <row r="217" spans="1:24" x14ac:dyDescent="0.25">
      <c r="A217" t="s">
        <v>50</v>
      </c>
      <c r="B217" t="s">
        <v>30</v>
      </c>
      <c r="C217" t="s">
        <v>35</v>
      </c>
      <c r="D217">
        <v>2008</v>
      </c>
      <c r="E217">
        <v>16838987</v>
      </c>
      <c r="F217">
        <v>314032357531</v>
      </c>
      <c r="G217">
        <v>59.46</v>
      </c>
      <c r="H217">
        <v>60.61</v>
      </c>
      <c r="I217">
        <v>0</v>
      </c>
      <c r="J217">
        <v>0.04</v>
      </c>
      <c r="K217">
        <v>27.07</v>
      </c>
      <c r="L217">
        <v>23.95</v>
      </c>
      <c r="M217">
        <v>0</v>
      </c>
      <c r="N217">
        <v>32.39</v>
      </c>
      <c r="O217">
        <v>0</v>
      </c>
      <c r="P217">
        <v>6.7000000000000004E-2</v>
      </c>
      <c r="Q217">
        <v>45.526000000000003</v>
      </c>
      <c r="R217">
        <v>54.473999999999997</v>
      </c>
      <c r="S217">
        <v>45.526000000000003</v>
      </c>
      <c r="T217">
        <v>454.42</v>
      </c>
      <c r="U217">
        <v>0.02</v>
      </c>
      <c r="W217">
        <v>300</v>
      </c>
      <c r="X217">
        <v>5.7</v>
      </c>
    </row>
    <row r="218" spans="1:24" x14ac:dyDescent="0.25">
      <c r="A218" t="s">
        <v>50</v>
      </c>
      <c r="B218" t="s">
        <v>30</v>
      </c>
      <c r="C218" t="s">
        <v>35</v>
      </c>
      <c r="D218">
        <v>2009</v>
      </c>
      <c r="E218">
        <v>17009730</v>
      </c>
      <c r="F218">
        <v>306660166266</v>
      </c>
      <c r="G218">
        <v>60.37</v>
      </c>
      <c r="H218">
        <v>61.72</v>
      </c>
      <c r="I218">
        <v>0</v>
      </c>
      <c r="J218">
        <v>0.08</v>
      </c>
      <c r="K218">
        <v>29.39</v>
      </c>
      <c r="L218">
        <v>25.04</v>
      </c>
      <c r="M218">
        <v>0</v>
      </c>
      <c r="N218">
        <v>30.98</v>
      </c>
      <c r="O218">
        <v>0</v>
      </c>
      <c r="P218">
        <v>0.13300000000000001</v>
      </c>
      <c r="Q218">
        <v>48.683</v>
      </c>
      <c r="R218">
        <v>51.317</v>
      </c>
      <c r="S218">
        <v>48.683</v>
      </c>
      <c r="T218">
        <v>435.98</v>
      </c>
      <c r="U218">
        <v>0.04</v>
      </c>
      <c r="W218">
        <v>100</v>
      </c>
      <c r="X218">
        <v>8.6</v>
      </c>
    </row>
    <row r="219" spans="1:24" x14ac:dyDescent="0.25">
      <c r="A219" t="s">
        <v>50</v>
      </c>
      <c r="B219" t="s">
        <v>30</v>
      </c>
      <c r="C219" t="s">
        <v>35</v>
      </c>
      <c r="D219">
        <v>2010</v>
      </c>
      <c r="E219">
        <v>17181463</v>
      </c>
      <c r="F219">
        <v>321457401232</v>
      </c>
      <c r="G219">
        <v>60.25</v>
      </c>
      <c r="H219">
        <v>61.21</v>
      </c>
      <c r="I219">
        <v>0</v>
      </c>
      <c r="J219">
        <v>0.33</v>
      </c>
      <c r="K219">
        <v>24.22</v>
      </c>
      <c r="L219">
        <v>21.64</v>
      </c>
      <c r="M219">
        <v>0</v>
      </c>
      <c r="N219">
        <v>36.03</v>
      </c>
      <c r="O219">
        <v>0</v>
      </c>
      <c r="P219">
        <v>0.54800000000000004</v>
      </c>
      <c r="Q219">
        <v>40.198999999999998</v>
      </c>
      <c r="R219">
        <v>59.801000000000002</v>
      </c>
      <c r="S219">
        <v>40.198999999999998</v>
      </c>
      <c r="T219">
        <v>481.66</v>
      </c>
      <c r="U219">
        <v>0.15</v>
      </c>
      <c r="W219">
        <v>312.5</v>
      </c>
      <c r="X219">
        <v>-17.600000000000001</v>
      </c>
    </row>
    <row r="220" spans="1:24" x14ac:dyDescent="0.25">
      <c r="A220" t="s">
        <v>50</v>
      </c>
      <c r="B220" t="s">
        <v>30</v>
      </c>
      <c r="C220" t="s">
        <v>35</v>
      </c>
      <c r="D220">
        <v>2011</v>
      </c>
      <c r="E220">
        <v>17351810</v>
      </c>
      <c r="F220">
        <v>338708860136</v>
      </c>
      <c r="G220">
        <v>65.650000000000006</v>
      </c>
      <c r="H220">
        <v>66.38</v>
      </c>
      <c r="I220">
        <v>0</v>
      </c>
      <c r="J220">
        <v>0.34</v>
      </c>
      <c r="K220">
        <v>25.95</v>
      </c>
      <c r="L220">
        <v>20.94</v>
      </c>
      <c r="M220">
        <v>0</v>
      </c>
      <c r="N220">
        <v>39.700000000000003</v>
      </c>
      <c r="O220">
        <v>0</v>
      </c>
      <c r="P220">
        <v>0.51800000000000002</v>
      </c>
      <c r="Q220">
        <v>39.527999999999999</v>
      </c>
      <c r="R220">
        <v>60.472000000000001</v>
      </c>
      <c r="S220">
        <v>39.527999999999999</v>
      </c>
      <c r="T220">
        <v>493.07</v>
      </c>
      <c r="U220">
        <v>0.15</v>
      </c>
      <c r="W220">
        <v>3</v>
      </c>
      <c r="X220">
        <v>7.1</v>
      </c>
    </row>
    <row r="221" spans="1:24" x14ac:dyDescent="0.25">
      <c r="A221" t="s">
        <v>50</v>
      </c>
      <c r="B221" t="s">
        <v>30</v>
      </c>
      <c r="C221" t="s">
        <v>35</v>
      </c>
      <c r="D221">
        <v>2012</v>
      </c>
      <c r="E221">
        <v>17519116</v>
      </c>
      <c r="F221">
        <v>359556383692</v>
      </c>
      <c r="G221">
        <v>69.569999999999993</v>
      </c>
      <c r="H221">
        <v>69.569999999999993</v>
      </c>
      <c r="I221">
        <v>0</v>
      </c>
      <c r="J221">
        <v>0.41</v>
      </c>
      <c r="K221">
        <v>25.24</v>
      </c>
      <c r="L221">
        <v>19.98</v>
      </c>
      <c r="M221">
        <v>0</v>
      </c>
      <c r="N221">
        <v>44.33</v>
      </c>
      <c r="O221">
        <v>0</v>
      </c>
      <c r="P221">
        <v>0.58899999999999997</v>
      </c>
      <c r="Q221">
        <v>36.28</v>
      </c>
      <c r="R221">
        <v>63.72</v>
      </c>
      <c r="S221">
        <v>36.28</v>
      </c>
      <c r="T221">
        <v>531.41</v>
      </c>
      <c r="U221">
        <v>0.18</v>
      </c>
      <c r="W221">
        <v>20.6</v>
      </c>
      <c r="X221">
        <v>-2.7</v>
      </c>
    </row>
    <row r="222" spans="1:24" x14ac:dyDescent="0.25">
      <c r="A222" t="s">
        <v>50</v>
      </c>
      <c r="B222" t="s">
        <v>30</v>
      </c>
      <c r="C222" t="s">
        <v>35</v>
      </c>
      <c r="D222">
        <v>2013</v>
      </c>
      <c r="E222">
        <v>17687006</v>
      </c>
      <c r="F222">
        <v>371454072393</v>
      </c>
      <c r="G222">
        <v>72.84</v>
      </c>
      <c r="H222">
        <v>72.84</v>
      </c>
      <c r="I222">
        <v>0.01</v>
      </c>
      <c r="J222">
        <v>0.55000000000000004</v>
      </c>
      <c r="K222">
        <v>26</v>
      </c>
      <c r="L222">
        <v>19.68</v>
      </c>
      <c r="M222">
        <v>0</v>
      </c>
      <c r="N222">
        <v>46.84</v>
      </c>
      <c r="O222">
        <v>1.4E-2</v>
      </c>
      <c r="P222">
        <v>0.755</v>
      </c>
      <c r="Q222">
        <v>35.695</v>
      </c>
      <c r="R222">
        <v>64.305000000000007</v>
      </c>
      <c r="S222">
        <v>35.695</v>
      </c>
      <c r="T222">
        <v>551.76</v>
      </c>
      <c r="U222">
        <v>0.25</v>
      </c>
      <c r="W222">
        <v>34.1</v>
      </c>
      <c r="X222">
        <v>3</v>
      </c>
    </row>
    <row r="223" spans="1:24" x14ac:dyDescent="0.25">
      <c r="A223" t="s">
        <v>50</v>
      </c>
      <c r="B223" t="s">
        <v>30</v>
      </c>
      <c r="C223" t="s">
        <v>35</v>
      </c>
      <c r="D223">
        <v>2014</v>
      </c>
      <c r="E223">
        <v>17864192</v>
      </c>
      <c r="F223">
        <v>378114271615</v>
      </c>
      <c r="G223">
        <v>70.17</v>
      </c>
      <c r="H223">
        <v>70.17</v>
      </c>
      <c r="I223">
        <v>0.48</v>
      </c>
      <c r="J223">
        <v>1.44</v>
      </c>
      <c r="K223">
        <v>30.06</v>
      </c>
      <c r="L223">
        <v>22.81</v>
      </c>
      <c r="M223">
        <v>0</v>
      </c>
      <c r="N223">
        <v>40.11</v>
      </c>
      <c r="O223">
        <v>0.68400000000000005</v>
      </c>
      <c r="P223">
        <v>2.052</v>
      </c>
      <c r="Q223">
        <v>42.838999999999999</v>
      </c>
      <c r="R223">
        <v>57.161000000000001</v>
      </c>
      <c r="S223">
        <v>42.838999999999999</v>
      </c>
      <c r="T223">
        <v>493.66</v>
      </c>
      <c r="U223">
        <v>0.86</v>
      </c>
      <c r="V223">
        <v>4700</v>
      </c>
      <c r="W223">
        <v>161.80000000000001</v>
      </c>
      <c r="X223">
        <v>15.6</v>
      </c>
    </row>
    <row r="224" spans="1:24" x14ac:dyDescent="0.25">
      <c r="A224" t="s">
        <v>50</v>
      </c>
      <c r="B224" t="s">
        <v>30</v>
      </c>
      <c r="C224" t="s">
        <v>35</v>
      </c>
      <c r="D224">
        <v>2015</v>
      </c>
      <c r="E224">
        <v>18047630</v>
      </c>
      <c r="F224">
        <v>386251266445</v>
      </c>
      <c r="G224">
        <v>74.91</v>
      </c>
      <c r="H224">
        <v>74.91</v>
      </c>
      <c r="I224">
        <v>1.24</v>
      </c>
      <c r="J224">
        <v>2.11</v>
      </c>
      <c r="K224">
        <v>32.36</v>
      </c>
      <c r="L224">
        <v>23.4</v>
      </c>
      <c r="M224">
        <v>0</v>
      </c>
      <c r="N224">
        <v>42.55</v>
      </c>
      <c r="O224">
        <v>1.655</v>
      </c>
      <c r="P224">
        <v>2.8170000000000002</v>
      </c>
      <c r="Q224">
        <v>43.198999999999998</v>
      </c>
      <c r="R224">
        <v>56.801000000000002</v>
      </c>
      <c r="S224">
        <v>43.198999999999998</v>
      </c>
      <c r="T224">
        <v>491.39</v>
      </c>
      <c r="U224">
        <v>1.51</v>
      </c>
      <c r="V224">
        <v>158.30000000000001</v>
      </c>
      <c r="W224">
        <v>46.5</v>
      </c>
      <c r="X224">
        <v>7.7</v>
      </c>
    </row>
    <row r="225" spans="1:25" x14ac:dyDescent="0.25">
      <c r="A225" t="s">
        <v>50</v>
      </c>
      <c r="B225" t="s">
        <v>30</v>
      </c>
      <c r="C225" t="s">
        <v>35</v>
      </c>
      <c r="D225">
        <v>2016</v>
      </c>
      <c r="E225">
        <v>18267225</v>
      </c>
      <c r="F225">
        <v>393022253885</v>
      </c>
      <c r="G225">
        <v>78.83</v>
      </c>
      <c r="H225">
        <v>78.83</v>
      </c>
      <c r="I225">
        <v>2.59</v>
      </c>
      <c r="J225">
        <v>2.4500000000000002</v>
      </c>
      <c r="K225">
        <v>33.81</v>
      </c>
      <c r="L225">
        <v>22.81</v>
      </c>
      <c r="M225">
        <v>0</v>
      </c>
      <c r="N225">
        <v>45.02</v>
      </c>
      <c r="O225">
        <v>3.286</v>
      </c>
      <c r="P225">
        <v>3.1080000000000001</v>
      </c>
      <c r="Q225">
        <v>42.89</v>
      </c>
      <c r="R225">
        <v>57.11</v>
      </c>
      <c r="S225">
        <v>42.89</v>
      </c>
      <c r="T225">
        <v>496.39</v>
      </c>
      <c r="U225">
        <v>2.27</v>
      </c>
      <c r="V225">
        <v>108.9</v>
      </c>
      <c r="W225">
        <v>16.100000000000001</v>
      </c>
      <c r="X225">
        <v>4.5</v>
      </c>
    </row>
    <row r="226" spans="1:25" x14ac:dyDescent="0.25">
      <c r="A226" t="s">
        <v>50</v>
      </c>
      <c r="B226" t="s">
        <v>30</v>
      </c>
      <c r="C226" t="s">
        <v>35</v>
      </c>
      <c r="D226">
        <v>2017</v>
      </c>
      <c r="E226">
        <v>18558868</v>
      </c>
      <c r="F226">
        <v>398359518680</v>
      </c>
      <c r="G226">
        <v>78.930000000000007</v>
      </c>
      <c r="H226">
        <v>78.89</v>
      </c>
      <c r="I226">
        <v>3.84</v>
      </c>
      <c r="J226">
        <v>3.52</v>
      </c>
      <c r="K226">
        <v>34.369999999999997</v>
      </c>
      <c r="L226">
        <v>20.89</v>
      </c>
      <c r="M226">
        <v>0</v>
      </c>
      <c r="N226">
        <v>44.56</v>
      </c>
      <c r="O226">
        <v>4.8650000000000002</v>
      </c>
      <c r="P226">
        <v>4.46</v>
      </c>
      <c r="Q226">
        <v>43.545000000000002</v>
      </c>
      <c r="R226">
        <v>56.454999999999998</v>
      </c>
      <c r="S226">
        <v>43.545000000000002</v>
      </c>
      <c r="T226">
        <v>487.27</v>
      </c>
      <c r="U226">
        <v>3.31</v>
      </c>
      <c r="V226">
        <v>48.3</v>
      </c>
      <c r="W226">
        <v>43.7</v>
      </c>
      <c r="X226">
        <v>1.7</v>
      </c>
    </row>
    <row r="227" spans="1:25" x14ac:dyDescent="0.25">
      <c r="A227" t="s">
        <v>50</v>
      </c>
      <c r="B227" t="s">
        <v>30</v>
      </c>
      <c r="C227" t="s">
        <v>35</v>
      </c>
      <c r="D227">
        <v>2018</v>
      </c>
      <c r="E227">
        <v>18893185</v>
      </c>
      <c r="F227">
        <v>414254051745</v>
      </c>
      <c r="G227">
        <v>81.760000000000005</v>
      </c>
      <c r="H227">
        <v>81.760000000000005</v>
      </c>
      <c r="I227">
        <v>5.12</v>
      </c>
      <c r="J227">
        <v>3.58</v>
      </c>
      <c r="K227">
        <v>37.5</v>
      </c>
      <c r="L227">
        <v>22.9</v>
      </c>
      <c r="M227">
        <v>0</v>
      </c>
      <c r="N227">
        <v>44.26</v>
      </c>
      <c r="O227">
        <v>6.2619999999999996</v>
      </c>
      <c r="P227">
        <v>4.3789999999999996</v>
      </c>
      <c r="Q227">
        <v>45.866</v>
      </c>
      <c r="R227">
        <v>54.134</v>
      </c>
      <c r="S227">
        <v>45.866</v>
      </c>
      <c r="T227">
        <v>470.28</v>
      </c>
      <c r="U227">
        <v>3.92</v>
      </c>
      <c r="V227">
        <v>33.299999999999997</v>
      </c>
      <c r="W227">
        <v>1.7</v>
      </c>
      <c r="X227">
        <v>9.1</v>
      </c>
    </row>
    <row r="228" spans="1:25" x14ac:dyDescent="0.25">
      <c r="A228" t="s">
        <v>50</v>
      </c>
      <c r="B228" t="s">
        <v>30</v>
      </c>
      <c r="C228" t="s">
        <v>35</v>
      </c>
      <c r="D228">
        <v>2019</v>
      </c>
      <c r="E228">
        <v>19197748</v>
      </c>
      <c r="F228">
        <v>417331966568</v>
      </c>
      <c r="G228">
        <v>83.98</v>
      </c>
      <c r="H228">
        <v>83.98</v>
      </c>
      <c r="I228">
        <v>6.3</v>
      </c>
      <c r="J228">
        <v>4.8899999999999997</v>
      </c>
      <c r="K228">
        <v>38.81</v>
      </c>
      <c r="L228">
        <v>22.03</v>
      </c>
      <c r="M228">
        <v>0</v>
      </c>
      <c r="N228">
        <v>45.17</v>
      </c>
      <c r="O228">
        <v>7.5019999999999998</v>
      </c>
      <c r="P228">
        <v>5.8230000000000004</v>
      </c>
      <c r="Q228">
        <v>46.213000000000001</v>
      </c>
      <c r="R228">
        <v>53.786999999999999</v>
      </c>
      <c r="S228">
        <v>46.213000000000001</v>
      </c>
      <c r="T228">
        <v>456.54</v>
      </c>
      <c r="U228">
        <v>5.04</v>
      </c>
      <c r="V228">
        <v>23</v>
      </c>
      <c r="W228">
        <v>36.6</v>
      </c>
      <c r="X228">
        <v>3.5</v>
      </c>
    </row>
    <row r="229" spans="1:25" x14ac:dyDescent="0.25">
      <c r="A229" t="s">
        <v>50</v>
      </c>
      <c r="B229" t="s">
        <v>30</v>
      </c>
      <c r="C229" t="s">
        <v>35</v>
      </c>
      <c r="D229">
        <v>2020</v>
      </c>
      <c r="E229">
        <v>19370621</v>
      </c>
      <c r="F229">
        <v>391686945225</v>
      </c>
      <c r="G229">
        <v>83.58</v>
      </c>
      <c r="H229">
        <v>83.58</v>
      </c>
      <c r="I229">
        <v>7.53</v>
      </c>
      <c r="J229">
        <v>5.55</v>
      </c>
      <c r="K229">
        <v>40.49</v>
      </c>
      <c r="L229">
        <v>21.93</v>
      </c>
      <c r="M229">
        <v>0</v>
      </c>
      <c r="N229">
        <v>43.09</v>
      </c>
      <c r="O229">
        <v>9.0090000000000003</v>
      </c>
      <c r="P229">
        <v>6.64</v>
      </c>
      <c r="Q229">
        <v>48.445</v>
      </c>
      <c r="R229">
        <v>51.555</v>
      </c>
      <c r="S229">
        <v>48.445</v>
      </c>
      <c r="T229">
        <v>436.83</v>
      </c>
      <c r="U229">
        <v>5.89</v>
      </c>
      <c r="V229">
        <v>19.5</v>
      </c>
      <c r="W229">
        <v>13.5</v>
      </c>
      <c r="X229">
        <v>4.3</v>
      </c>
    </row>
    <row r="230" spans="1:25" x14ac:dyDescent="0.25">
      <c r="A230" t="s">
        <v>50</v>
      </c>
      <c r="B230" t="s">
        <v>30</v>
      </c>
      <c r="C230" t="s">
        <v>35</v>
      </c>
      <c r="D230">
        <v>2021</v>
      </c>
      <c r="E230">
        <v>19456323</v>
      </c>
      <c r="F230">
        <v>437659188270</v>
      </c>
      <c r="G230">
        <v>88.1</v>
      </c>
      <c r="H230">
        <v>88.1</v>
      </c>
      <c r="I230">
        <v>10.56</v>
      </c>
      <c r="J230">
        <v>7.62</v>
      </c>
      <c r="K230">
        <v>43.07</v>
      </c>
      <c r="L230">
        <v>18.96</v>
      </c>
      <c r="M230">
        <v>0</v>
      </c>
      <c r="N230">
        <v>45.03</v>
      </c>
      <c r="O230">
        <v>11.986000000000001</v>
      </c>
      <c r="P230">
        <v>8.6489999999999991</v>
      </c>
      <c r="Q230">
        <v>48.887999999999998</v>
      </c>
      <c r="R230">
        <v>51.112000000000002</v>
      </c>
      <c r="S230">
        <v>48.887999999999998</v>
      </c>
      <c r="T230">
        <v>430.99</v>
      </c>
      <c r="U230">
        <v>8.18</v>
      </c>
      <c r="V230">
        <v>40.200000000000003</v>
      </c>
      <c r="W230">
        <v>37.299999999999997</v>
      </c>
      <c r="X230">
        <v>6.4</v>
      </c>
      <c r="Y230" t="s">
        <v>51</v>
      </c>
    </row>
    <row r="231" spans="1:25" x14ac:dyDescent="0.25">
      <c r="A231" t="s">
        <v>50</v>
      </c>
      <c r="B231" t="s">
        <v>30</v>
      </c>
      <c r="C231" t="s">
        <v>35</v>
      </c>
      <c r="D231">
        <v>2022</v>
      </c>
      <c r="E231">
        <v>19553033</v>
      </c>
      <c r="F231">
        <v>448338105532</v>
      </c>
      <c r="G231">
        <v>91.04</v>
      </c>
      <c r="H231">
        <v>91.04</v>
      </c>
      <c r="I231">
        <v>15.71</v>
      </c>
      <c r="J231">
        <v>8.8800000000000008</v>
      </c>
      <c r="K231">
        <v>50.37</v>
      </c>
      <c r="L231">
        <v>20.68</v>
      </c>
      <c r="M231">
        <v>0</v>
      </c>
      <c r="N231">
        <v>40.67</v>
      </c>
      <c r="O231">
        <v>17.256</v>
      </c>
      <c r="P231">
        <v>9.7539999999999996</v>
      </c>
      <c r="Q231">
        <v>55.326999999999998</v>
      </c>
      <c r="R231">
        <v>44.673000000000002</v>
      </c>
      <c r="S231">
        <v>55.326999999999998</v>
      </c>
      <c r="T231">
        <v>372.8</v>
      </c>
      <c r="U231">
        <v>11.07</v>
      </c>
      <c r="V231">
        <v>48.8</v>
      </c>
      <c r="W231">
        <v>16.5</v>
      </c>
      <c r="X231">
        <v>16.899999999999999</v>
      </c>
    </row>
    <row r="232" spans="1:25" x14ac:dyDescent="0.25">
      <c r="A232" t="s">
        <v>50</v>
      </c>
      <c r="B232" t="s">
        <v>30</v>
      </c>
      <c r="C232" t="s">
        <v>35</v>
      </c>
      <c r="D232">
        <v>2023</v>
      </c>
      <c r="E232">
        <v>19658833</v>
      </c>
      <c r="G232">
        <v>89.23</v>
      </c>
      <c r="H232">
        <v>89.23</v>
      </c>
      <c r="I232">
        <v>17.940000000000001</v>
      </c>
      <c r="J232">
        <v>9.4600000000000009</v>
      </c>
      <c r="K232">
        <v>56.34</v>
      </c>
      <c r="L232">
        <v>23.3</v>
      </c>
      <c r="M232">
        <v>0</v>
      </c>
      <c r="N232">
        <v>32.89</v>
      </c>
      <c r="O232">
        <v>20.105</v>
      </c>
      <c r="P232">
        <v>10.602</v>
      </c>
      <c r="Q232">
        <v>63.14</v>
      </c>
      <c r="R232">
        <v>36.86</v>
      </c>
      <c r="S232">
        <v>63.14</v>
      </c>
      <c r="T232">
        <v>303.82</v>
      </c>
      <c r="U232">
        <v>12.33</v>
      </c>
      <c r="V232">
        <v>14.2</v>
      </c>
      <c r="W232">
        <v>6.5</v>
      </c>
      <c r="X232">
        <v>11.9</v>
      </c>
    </row>
    <row r="233" spans="1:25" x14ac:dyDescent="0.25">
      <c r="A233" t="s">
        <v>50</v>
      </c>
      <c r="B233" t="s">
        <v>30</v>
      </c>
      <c r="C233" t="s">
        <v>35</v>
      </c>
      <c r="D233">
        <v>2024</v>
      </c>
      <c r="E233">
        <v>19764774</v>
      </c>
      <c r="G233">
        <v>88.62</v>
      </c>
      <c r="H233">
        <v>88.62</v>
      </c>
      <c r="I233">
        <v>20.190000000000001</v>
      </c>
      <c r="J233">
        <v>10.43</v>
      </c>
      <c r="K233">
        <v>62.07</v>
      </c>
      <c r="L233">
        <v>26</v>
      </c>
      <c r="M233">
        <v>0</v>
      </c>
      <c r="N233">
        <v>26.55</v>
      </c>
      <c r="O233">
        <v>22.783000000000001</v>
      </c>
      <c r="P233">
        <v>11.769</v>
      </c>
      <c r="Q233">
        <v>70.040999999999997</v>
      </c>
      <c r="R233">
        <v>29.959</v>
      </c>
      <c r="S233">
        <v>70.040999999999997</v>
      </c>
      <c r="T233">
        <v>259.87</v>
      </c>
      <c r="U233">
        <v>13.78</v>
      </c>
      <c r="V233">
        <v>12.5</v>
      </c>
      <c r="W233">
        <v>10.3</v>
      </c>
      <c r="X233">
        <v>10.199999999999999</v>
      </c>
    </row>
    <row r="234" spans="1:25" x14ac:dyDescent="0.25">
      <c r="A234" t="s">
        <v>50</v>
      </c>
      <c r="B234" t="s">
        <v>30</v>
      </c>
      <c r="C234" t="s">
        <v>35</v>
      </c>
      <c r="D234">
        <v>2025</v>
      </c>
      <c r="E234">
        <v>19859919</v>
      </c>
      <c r="G234">
        <v>88.5</v>
      </c>
      <c r="H234">
        <v>88.5</v>
      </c>
      <c r="I234">
        <v>22.18</v>
      </c>
      <c r="J234">
        <v>11.58</v>
      </c>
      <c r="K234">
        <v>58.74</v>
      </c>
      <c r="L234">
        <v>19.68</v>
      </c>
      <c r="M234">
        <v>0</v>
      </c>
      <c r="N234">
        <v>29.76</v>
      </c>
      <c r="O234">
        <v>25.062000000000001</v>
      </c>
      <c r="P234">
        <v>13.085000000000001</v>
      </c>
      <c r="Q234">
        <v>66.373000000000005</v>
      </c>
      <c r="R234">
        <v>33.627000000000002</v>
      </c>
      <c r="S234">
        <v>66.373000000000005</v>
      </c>
      <c r="T234">
        <v>289.49</v>
      </c>
      <c r="U234">
        <v>15.19</v>
      </c>
      <c r="V234">
        <v>9.9</v>
      </c>
      <c r="W234">
        <v>11</v>
      </c>
      <c r="X234">
        <v>-5.4</v>
      </c>
    </row>
    <row r="235" spans="1:25" x14ac:dyDescent="0.25">
      <c r="A235" t="s">
        <v>52</v>
      </c>
      <c r="B235" t="s">
        <v>41</v>
      </c>
      <c r="C235" t="s">
        <v>31</v>
      </c>
      <c r="D235">
        <v>2000</v>
      </c>
      <c r="E235">
        <v>1269581174</v>
      </c>
      <c r="F235">
        <v>5952682232028</v>
      </c>
      <c r="G235">
        <v>1355.6</v>
      </c>
      <c r="H235">
        <v>1346.85</v>
      </c>
      <c r="I235">
        <v>0.02</v>
      </c>
      <c r="J235">
        <v>0.59</v>
      </c>
      <c r="K235">
        <v>225.56</v>
      </c>
      <c r="L235">
        <v>222.41</v>
      </c>
      <c r="M235">
        <v>16.739999999999998</v>
      </c>
      <c r="N235">
        <v>1113.3</v>
      </c>
      <c r="O235">
        <v>1E-3</v>
      </c>
      <c r="P235">
        <v>4.3999999999999997E-2</v>
      </c>
      <c r="Q235">
        <v>16.638999999999999</v>
      </c>
      <c r="R235">
        <v>82.126000000000005</v>
      </c>
      <c r="S235">
        <v>17.873999999999999</v>
      </c>
      <c r="T235">
        <v>783.51</v>
      </c>
      <c r="U235">
        <v>0.27</v>
      </c>
    </row>
    <row r="236" spans="1:25" x14ac:dyDescent="0.25">
      <c r="A236" t="s">
        <v>52</v>
      </c>
      <c r="B236" t="s">
        <v>41</v>
      </c>
      <c r="C236" t="s">
        <v>31</v>
      </c>
      <c r="D236">
        <v>2001</v>
      </c>
      <c r="E236">
        <v>1278725061</v>
      </c>
      <c r="F236">
        <v>6329737256820</v>
      </c>
      <c r="G236">
        <v>1480.79</v>
      </c>
      <c r="H236">
        <v>1472.19</v>
      </c>
      <c r="I236">
        <v>0.03</v>
      </c>
      <c r="J236">
        <v>0.72</v>
      </c>
      <c r="K236">
        <v>280.73</v>
      </c>
      <c r="L236">
        <v>277.43</v>
      </c>
      <c r="M236">
        <v>17.47</v>
      </c>
      <c r="N236">
        <v>1182.5899999999999</v>
      </c>
      <c r="O236">
        <v>2E-3</v>
      </c>
      <c r="P236">
        <v>4.9000000000000002E-2</v>
      </c>
      <c r="Q236">
        <v>18.957999999999998</v>
      </c>
      <c r="R236">
        <v>79.861999999999995</v>
      </c>
      <c r="S236">
        <v>20.138000000000002</v>
      </c>
      <c r="T236">
        <v>762.88</v>
      </c>
      <c r="U236">
        <v>0.34</v>
      </c>
      <c r="V236">
        <v>50</v>
      </c>
      <c r="W236">
        <v>22</v>
      </c>
      <c r="X236">
        <v>24.5</v>
      </c>
    </row>
    <row r="237" spans="1:25" x14ac:dyDescent="0.25">
      <c r="A237" t="s">
        <v>52</v>
      </c>
      <c r="B237" t="s">
        <v>41</v>
      </c>
      <c r="C237" t="s">
        <v>31</v>
      </c>
      <c r="D237">
        <v>2002</v>
      </c>
      <c r="E237">
        <v>1286866835</v>
      </c>
      <c r="F237">
        <v>6814493895929</v>
      </c>
      <c r="G237">
        <v>1654.01</v>
      </c>
      <c r="H237">
        <v>1645.61</v>
      </c>
      <c r="I237">
        <v>0.05</v>
      </c>
      <c r="J237">
        <v>0.84</v>
      </c>
      <c r="K237">
        <v>291.41000000000003</v>
      </c>
      <c r="L237">
        <v>287.97000000000003</v>
      </c>
      <c r="M237">
        <v>25.13</v>
      </c>
      <c r="N237">
        <v>1337.47</v>
      </c>
      <c r="O237">
        <v>3.0000000000000001E-3</v>
      </c>
      <c r="P237">
        <v>5.0999999999999997E-2</v>
      </c>
      <c r="Q237">
        <v>17.617999999999999</v>
      </c>
      <c r="R237">
        <v>80.861999999999995</v>
      </c>
      <c r="S237">
        <v>19.138000000000002</v>
      </c>
      <c r="T237">
        <v>773.3</v>
      </c>
      <c r="U237">
        <v>0.4</v>
      </c>
      <c r="V237">
        <v>66.7</v>
      </c>
      <c r="W237">
        <v>16.7</v>
      </c>
      <c r="X237">
        <v>3.8</v>
      </c>
    </row>
    <row r="238" spans="1:25" x14ac:dyDescent="0.25">
      <c r="A238" t="s">
        <v>52</v>
      </c>
      <c r="B238" t="s">
        <v>41</v>
      </c>
      <c r="C238" t="s">
        <v>31</v>
      </c>
      <c r="D238">
        <v>2003</v>
      </c>
      <c r="E238">
        <v>1294517323</v>
      </c>
      <c r="F238">
        <v>7248623080792</v>
      </c>
      <c r="G238">
        <v>1910.58</v>
      </c>
      <c r="H238">
        <v>1903.22</v>
      </c>
      <c r="I238">
        <v>0.06</v>
      </c>
      <c r="J238">
        <v>1</v>
      </c>
      <c r="K238">
        <v>287.27999999999997</v>
      </c>
      <c r="L238">
        <v>283.68</v>
      </c>
      <c r="M238">
        <v>43.34</v>
      </c>
      <c r="N238">
        <v>1579.96</v>
      </c>
      <c r="O238">
        <v>3.0000000000000001E-3</v>
      </c>
      <c r="P238">
        <v>5.1999999999999998E-2</v>
      </c>
      <c r="Q238">
        <v>15.036</v>
      </c>
      <c r="R238">
        <v>82.694999999999993</v>
      </c>
      <c r="S238">
        <v>17.305</v>
      </c>
      <c r="T238">
        <v>790.92</v>
      </c>
      <c r="U238">
        <v>0.48</v>
      </c>
      <c r="V238">
        <v>20</v>
      </c>
      <c r="W238">
        <v>19</v>
      </c>
      <c r="X238">
        <v>-1.4</v>
      </c>
    </row>
    <row r="239" spans="1:25" x14ac:dyDescent="0.25">
      <c r="A239" t="s">
        <v>52</v>
      </c>
      <c r="B239" t="s">
        <v>41</v>
      </c>
      <c r="C239" t="s">
        <v>31</v>
      </c>
      <c r="D239">
        <v>2004</v>
      </c>
      <c r="E239">
        <v>1302100316</v>
      </c>
      <c r="F239">
        <v>7830953177799</v>
      </c>
      <c r="G239">
        <v>2203.31</v>
      </c>
      <c r="H239">
        <v>2197.23</v>
      </c>
      <c r="I239">
        <v>0.08</v>
      </c>
      <c r="J239">
        <v>1.28</v>
      </c>
      <c r="K239">
        <v>357.43</v>
      </c>
      <c r="L239">
        <v>353.54</v>
      </c>
      <c r="M239">
        <v>50.47</v>
      </c>
      <c r="N239">
        <v>1795.41</v>
      </c>
      <c r="O239">
        <v>4.0000000000000001E-3</v>
      </c>
      <c r="P239">
        <v>5.8000000000000003E-2</v>
      </c>
      <c r="Q239">
        <v>16.222000000000001</v>
      </c>
      <c r="R239">
        <v>81.486999999999995</v>
      </c>
      <c r="S239">
        <v>18.513000000000002</v>
      </c>
      <c r="T239">
        <v>778.5</v>
      </c>
      <c r="U239">
        <v>0.61</v>
      </c>
      <c r="V239">
        <v>33.299999999999997</v>
      </c>
      <c r="W239">
        <v>28</v>
      </c>
      <c r="X239">
        <v>24.4</v>
      </c>
    </row>
    <row r="240" spans="1:25" x14ac:dyDescent="0.25">
      <c r="A240" t="s">
        <v>52</v>
      </c>
      <c r="B240" t="s">
        <v>41</v>
      </c>
      <c r="C240" t="s">
        <v>31</v>
      </c>
      <c r="D240">
        <v>2005</v>
      </c>
      <c r="E240">
        <v>1310027135</v>
      </c>
      <c r="F240">
        <v>8602939667333</v>
      </c>
      <c r="G240">
        <v>2500.2600000000002</v>
      </c>
      <c r="H240">
        <v>2494.08</v>
      </c>
      <c r="I240">
        <v>0.08</v>
      </c>
      <c r="J240">
        <v>1.95</v>
      </c>
      <c r="K240">
        <v>404.37</v>
      </c>
      <c r="L240">
        <v>397.02</v>
      </c>
      <c r="M240">
        <v>53.09</v>
      </c>
      <c r="N240">
        <v>2042.8</v>
      </c>
      <c r="O240">
        <v>3.0000000000000001E-3</v>
      </c>
      <c r="P240">
        <v>7.8E-2</v>
      </c>
      <c r="Q240">
        <v>16.172999999999998</v>
      </c>
      <c r="R240">
        <v>81.703999999999994</v>
      </c>
      <c r="S240">
        <v>18.295999999999999</v>
      </c>
      <c r="T240">
        <v>782.08</v>
      </c>
      <c r="U240">
        <v>0.91</v>
      </c>
      <c r="V240">
        <v>0</v>
      </c>
      <c r="W240">
        <v>52.3</v>
      </c>
      <c r="X240">
        <v>13.1</v>
      </c>
    </row>
    <row r="241" spans="1:25" x14ac:dyDescent="0.25">
      <c r="A241" t="s">
        <v>52</v>
      </c>
      <c r="B241" t="s">
        <v>41</v>
      </c>
      <c r="C241" t="s">
        <v>31</v>
      </c>
      <c r="D241">
        <v>2006</v>
      </c>
      <c r="E241">
        <v>1318054030</v>
      </c>
      <c r="F241">
        <v>9489543138489</v>
      </c>
      <c r="G241">
        <v>2865.72</v>
      </c>
      <c r="H241">
        <v>2858.84</v>
      </c>
      <c r="I241">
        <v>0.09</v>
      </c>
      <c r="J241">
        <v>3.71</v>
      </c>
      <c r="K241">
        <v>446.72</v>
      </c>
      <c r="L241">
        <v>435.79</v>
      </c>
      <c r="M241">
        <v>54.84</v>
      </c>
      <c r="N241">
        <v>2364.16</v>
      </c>
      <c r="O241">
        <v>3.0000000000000001E-3</v>
      </c>
      <c r="P241">
        <v>0.129</v>
      </c>
      <c r="Q241">
        <v>15.587999999999999</v>
      </c>
      <c r="R241">
        <v>82.498000000000005</v>
      </c>
      <c r="S241">
        <v>17.501999999999999</v>
      </c>
      <c r="T241">
        <v>786.64</v>
      </c>
      <c r="U241">
        <v>1.71</v>
      </c>
      <c r="V241">
        <v>12.5</v>
      </c>
      <c r="W241">
        <v>90.3</v>
      </c>
      <c r="X241">
        <v>10.5</v>
      </c>
      <c r="Y241" t="s">
        <v>53</v>
      </c>
    </row>
    <row r="242" spans="1:25" x14ac:dyDescent="0.25">
      <c r="A242" t="s">
        <v>52</v>
      </c>
      <c r="B242" t="s">
        <v>41</v>
      </c>
      <c r="C242" t="s">
        <v>31</v>
      </c>
      <c r="D242">
        <v>2007</v>
      </c>
      <c r="E242">
        <v>1325813576</v>
      </c>
      <c r="F242">
        <v>10358206113742</v>
      </c>
      <c r="G242">
        <v>3281.54</v>
      </c>
      <c r="H242">
        <v>3271.23</v>
      </c>
      <c r="I242">
        <v>0.11</v>
      </c>
      <c r="J242">
        <v>5.48</v>
      </c>
      <c r="K242">
        <v>500.71</v>
      </c>
      <c r="L242">
        <v>485.26</v>
      </c>
      <c r="M242">
        <v>62.13</v>
      </c>
      <c r="N242">
        <v>2718.7</v>
      </c>
      <c r="O242">
        <v>3.0000000000000001E-3</v>
      </c>
      <c r="P242">
        <v>0.16700000000000001</v>
      </c>
      <c r="Q242">
        <v>15.257999999999999</v>
      </c>
      <c r="R242">
        <v>82.847999999999999</v>
      </c>
      <c r="S242">
        <v>17.152000000000001</v>
      </c>
      <c r="T242">
        <v>785.24</v>
      </c>
      <c r="U242">
        <v>2.52</v>
      </c>
      <c r="V242">
        <v>22.2</v>
      </c>
      <c r="W242">
        <v>47.7</v>
      </c>
      <c r="X242">
        <v>12.1</v>
      </c>
    </row>
    <row r="243" spans="1:25" x14ac:dyDescent="0.25">
      <c r="A243" t="s">
        <v>52</v>
      </c>
      <c r="B243" t="s">
        <v>41</v>
      </c>
      <c r="C243" t="s">
        <v>31</v>
      </c>
      <c r="D243">
        <v>2008</v>
      </c>
      <c r="E243">
        <v>1333821011</v>
      </c>
      <c r="F243">
        <v>10799148337884</v>
      </c>
      <c r="G243">
        <v>3495.76</v>
      </c>
      <c r="H243">
        <v>3482.96</v>
      </c>
      <c r="I243">
        <v>0.15</v>
      </c>
      <c r="J243">
        <v>13.1</v>
      </c>
      <c r="K243">
        <v>665.08</v>
      </c>
      <c r="L243">
        <v>636.96</v>
      </c>
      <c r="M243">
        <v>68.39</v>
      </c>
      <c r="N243">
        <v>2762.29</v>
      </c>
      <c r="O243">
        <v>4.0000000000000001E-3</v>
      </c>
      <c r="P243">
        <v>0.375</v>
      </c>
      <c r="Q243">
        <v>19.024999999999999</v>
      </c>
      <c r="R243">
        <v>79.018000000000001</v>
      </c>
      <c r="S243">
        <v>20.981999999999999</v>
      </c>
      <c r="T243">
        <v>747.06</v>
      </c>
      <c r="U243">
        <v>5.96</v>
      </c>
      <c r="V243">
        <v>36.4</v>
      </c>
      <c r="W243">
        <v>139.1</v>
      </c>
      <c r="X243">
        <v>32.799999999999997</v>
      </c>
    </row>
    <row r="244" spans="1:25" x14ac:dyDescent="0.25">
      <c r="A244" t="s">
        <v>52</v>
      </c>
      <c r="B244" t="s">
        <v>41</v>
      </c>
      <c r="C244" t="s">
        <v>31</v>
      </c>
      <c r="D244">
        <v>2009</v>
      </c>
      <c r="E244">
        <v>1342522717</v>
      </c>
      <c r="F244">
        <v>11572544299171</v>
      </c>
      <c r="G244">
        <v>3714.64</v>
      </c>
      <c r="H244">
        <v>3703.26</v>
      </c>
      <c r="I244">
        <v>0.28000000000000003</v>
      </c>
      <c r="J244">
        <v>27.61</v>
      </c>
      <c r="K244">
        <v>664.39</v>
      </c>
      <c r="L244">
        <v>615.64</v>
      </c>
      <c r="M244">
        <v>70.05</v>
      </c>
      <c r="N244">
        <v>2980.2</v>
      </c>
      <c r="O244">
        <v>8.0000000000000002E-3</v>
      </c>
      <c r="P244">
        <v>0.74299999999999999</v>
      </c>
      <c r="Q244">
        <v>17.885999999999999</v>
      </c>
      <c r="R244">
        <v>80.228999999999999</v>
      </c>
      <c r="S244">
        <v>19.771000000000001</v>
      </c>
      <c r="T244">
        <v>753.13</v>
      </c>
      <c r="U244">
        <v>12.55</v>
      </c>
      <c r="V244">
        <v>86.7</v>
      </c>
      <c r="W244">
        <v>110.8</v>
      </c>
      <c r="X244">
        <v>-0.1</v>
      </c>
    </row>
    <row r="245" spans="1:25" x14ac:dyDescent="0.25">
      <c r="A245" t="s">
        <v>52</v>
      </c>
      <c r="B245" t="s">
        <v>41</v>
      </c>
      <c r="C245" t="s">
        <v>31</v>
      </c>
      <c r="D245">
        <v>2010</v>
      </c>
      <c r="E245">
        <v>1351561505</v>
      </c>
      <c r="F245">
        <v>12858808500983</v>
      </c>
      <c r="G245">
        <v>4207.16</v>
      </c>
      <c r="H245">
        <v>4193.6499999999996</v>
      </c>
      <c r="I245">
        <v>0.7</v>
      </c>
      <c r="J245">
        <v>49.4</v>
      </c>
      <c r="K245">
        <v>786.38</v>
      </c>
      <c r="L245">
        <v>711.38</v>
      </c>
      <c r="M245">
        <v>74.739999999999995</v>
      </c>
      <c r="N245">
        <v>3346.04</v>
      </c>
      <c r="O245">
        <v>1.7000000000000001E-2</v>
      </c>
      <c r="P245">
        <v>1.1739999999999999</v>
      </c>
      <c r="Q245">
        <v>18.690999999999999</v>
      </c>
      <c r="R245">
        <v>79.531999999999996</v>
      </c>
      <c r="S245">
        <v>20.468</v>
      </c>
      <c r="T245">
        <v>740.75</v>
      </c>
      <c r="U245">
        <v>22.54</v>
      </c>
      <c r="V245">
        <v>150</v>
      </c>
      <c r="W245">
        <v>78.900000000000006</v>
      </c>
      <c r="X245">
        <v>18.399999999999999</v>
      </c>
    </row>
    <row r="246" spans="1:25" x14ac:dyDescent="0.25">
      <c r="A246" t="s">
        <v>52</v>
      </c>
      <c r="B246" t="s">
        <v>41</v>
      </c>
      <c r="C246" t="s">
        <v>31</v>
      </c>
      <c r="D246">
        <v>2011</v>
      </c>
      <c r="E246">
        <v>1360250658</v>
      </c>
      <c r="F246">
        <v>13691526496125</v>
      </c>
      <c r="G246">
        <v>4713.0200000000004</v>
      </c>
      <c r="H246">
        <v>4700.28</v>
      </c>
      <c r="I246">
        <v>2.61</v>
      </c>
      <c r="J246">
        <v>74.099999999999994</v>
      </c>
      <c r="K246">
        <v>792.38</v>
      </c>
      <c r="L246">
        <v>688.04</v>
      </c>
      <c r="M246">
        <v>87.2</v>
      </c>
      <c r="N246">
        <v>3833.44</v>
      </c>
      <c r="O246">
        <v>5.5E-2</v>
      </c>
      <c r="P246">
        <v>1.5720000000000001</v>
      </c>
      <c r="Q246">
        <v>16.812999999999999</v>
      </c>
      <c r="R246">
        <v>81.337000000000003</v>
      </c>
      <c r="S246">
        <v>18.663</v>
      </c>
      <c r="T246">
        <v>752.36</v>
      </c>
      <c r="U246">
        <v>34.520000000000003</v>
      </c>
      <c r="V246">
        <v>272.89999999999998</v>
      </c>
      <c r="W246">
        <v>50</v>
      </c>
      <c r="X246">
        <v>0.8</v>
      </c>
    </row>
    <row r="247" spans="1:25" x14ac:dyDescent="0.25">
      <c r="A247" t="s">
        <v>52</v>
      </c>
      <c r="B247" t="s">
        <v>41</v>
      </c>
      <c r="C247" t="s">
        <v>31</v>
      </c>
      <c r="D247">
        <v>2012</v>
      </c>
      <c r="E247">
        <v>1369520866</v>
      </c>
      <c r="F247">
        <v>14773157494771</v>
      </c>
      <c r="G247">
        <v>4987.54</v>
      </c>
      <c r="H247">
        <v>4976.76</v>
      </c>
      <c r="I247">
        <v>3.59</v>
      </c>
      <c r="J247">
        <v>103.05</v>
      </c>
      <c r="K247">
        <v>999.56</v>
      </c>
      <c r="L247">
        <v>862.79</v>
      </c>
      <c r="M247">
        <v>98.32</v>
      </c>
      <c r="N247">
        <v>3889.66</v>
      </c>
      <c r="O247">
        <v>7.1999999999999995E-2</v>
      </c>
      <c r="P247">
        <v>2.0659999999999998</v>
      </c>
      <c r="Q247">
        <v>20.041</v>
      </c>
      <c r="R247">
        <v>77.988</v>
      </c>
      <c r="S247">
        <v>22.012</v>
      </c>
      <c r="T247">
        <v>720.28</v>
      </c>
      <c r="U247">
        <v>47.99</v>
      </c>
      <c r="V247">
        <v>37.5</v>
      </c>
      <c r="W247">
        <v>39.1</v>
      </c>
      <c r="X247">
        <v>26.1</v>
      </c>
    </row>
    <row r="248" spans="1:25" x14ac:dyDescent="0.25">
      <c r="A248" t="s">
        <v>52</v>
      </c>
      <c r="B248" t="s">
        <v>41</v>
      </c>
      <c r="C248" t="s">
        <v>31</v>
      </c>
      <c r="D248">
        <v>2013</v>
      </c>
      <c r="E248">
        <v>1379008040</v>
      </c>
      <c r="F248">
        <v>15925464549520</v>
      </c>
      <c r="G248">
        <v>5431.63</v>
      </c>
      <c r="H248">
        <v>5420.4</v>
      </c>
      <c r="I248">
        <v>8.3699999999999992</v>
      </c>
      <c r="J248">
        <v>138.26</v>
      </c>
      <c r="K248">
        <v>1093.3699999999999</v>
      </c>
      <c r="L248">
        <v>909.61</v>
      </c>
      <c r="M248">
        <v>111.5</v>
      </c>
      <c r="N248">
        <v>4226.76</v>
      </c>
      <c r="O248">
        <v>0.154</v>
      </c>
      <c r="P248">
        <v>2.5449999999999999</v>
      </c>
      <c r="Q248">
        <v>20.13</v>
      </c>
      <c r="R248">
        <v>77.817999999999998</v>
      </c>
      <c r="S248">
        <v>22.181999999999999</v>
      </c>
      <c r="T248">
        <v>717.51</v>
      </c>
      <c r="U248">
        <v>65.98</v>
      </c>
      <c r="V248">
        <v>133.1</v>
      </c>
      <c r="W248">
        <v>34.200000000000003</v>
      </c>
      <c r="X248">
        <v>9.4</v>
      </c>
    </row>
    <row r="249" spans="1:25" x14ac:dyDescent="0.25">
      <c r="A249" t="s">
        <v>52</v>
      </c>
      <c r="B249" t="s">
        <v>41</v>
      </c>
      <c r="C249" t="s">
        <v>31</v>
      </c>
      <c r="D249">
        <v>2014</v>
      </c>
      <c r="E249">
        <v>1387951970</v>
      </c>
      <c r="F249">
        <v>17103948867278</v>
      </c>
      <c r="G249">
        <v>5794.45</v>
      </c>
      <c r="H249">
        <v>5783.04</v>
      </c>
      <c r="I249">
        <v>23.51</v>
      </c>
      <c r="J249">
        <v>159.76</v>
      </c>
      <c r="K249">
        <v>1289.23</v>
      </c>
      <c r="L249">
        <v>1059.69</v>
      </c>
      <c r="M249">
        <v>133.22</v>
      </c>
      <c r="N249">
        <v>4372</v>
      </c>
      <c r="O249">
        <v>0.40600000000000003</v>
      </c>
      <c r="P249">
        <v>2.7570000000000001</v>
      </c>
      <c r="Q249">
        <v>22.248999999999999</v>
      </c>
      <c r="R249">
        <v>75.451999999999998</v>
      </c>
      <c r="S249">
        <v>24.547999999999998</v>
      </c>
      <c r="T249">
        <v>693.85</v>
      </c>
      <c r="U249">
        <v>82.47</v>
      </c>
      <c r="V249">
        <v>180.9</v>
      </c>
      <c r="W249">
        <v>15.6</v>
      </c>
      <c r="X249">
        <v>17.899999999999999</v>
      </c>
    </row>
    <row r="250" spans="1:25" x14ac:dyDescent="0.25">
      <c r="A250" t="s">
        <v>52</v>
      </c>
      <c r="B250" t="s">
        <v>41</v>
      </c>
      <c r="C250" t="s">
        <v>31</v>
      </c>
      <c r="D250">
        <v>2015</v>
      </c>
      <c r="E250">
        <v>1396134171</v>
      </c>
      <c r="F250">
        <v>18301224436466</v>
      </c>
      <c r="G250">
        <v>5814.58</v>
      </c>
      <c r="H250">
        <v>5802.14</v>
      </c>
      <c r="I250">
        <v>39.479999999999997</v>
      </c>
      <c r="J250">
        <v>185.59</v>
      </c>
      <c r="K250">
        <v>1393.66</v>
      </c>
      <c r="L250">
        <v>1114.52</v>
      </c>
      <c r="M250">
        <v>171.38</v>
      </c>
      <c r="N250">
        <v>4249.54</v>
      </c>
      <c r="O250">
        <v>0.67900000000000005</v>
      </c>
      <c r="P250">
        <v>3.1920000000000002</v>
      </c>
      <c r="Q250">
        <v>23.968</v>
      </c>
      <c r="R250">
        <v>73.084000000000003</v>
      </c>
      <c r="S250">
        <v>26.916</v>
      </c>
      <c r="T250">
        <v>667.85</v>
      </c>
      <c r="U250">
        <v>101.28</v>
      </c>
      <c r="V250">
        <v>67.900000000000006</v>
      </c>
      <c r="W250">
        <v>16.2</v>
      </c>
      <c r="X250">
        <v>8.1</v>
      </c>
      <c r="Y250" t="s">
        <v>54</v>
      </c>
    </row>
    <row r="251" spans="1:25" x14ac:dyDescent="0.25">
      <c r="A251" t="s">
        <v>52</v>
      </c>
      <c r="B251" t="s">
        <v>41</v>
      </c>
      <c r="C251" t="s">
        <v>31</v>
      </c>
      <c r="D251">
        <v>2016</v>
      </c>
      <c r="E251">
        <v>1404052628</v>
      </c>
      <c r="F251">
        <v>19545709173693</v>
      </c>
      <c r="G251">
        <v>6133.16</v>
      </c>
      <c r="H251">
        <v>6120.44</v>
      </c>
      <c r="I251">
        <v>66.53</v>
      </c>
      <c r="J251">
        <v>240.86</v>
      </c>
      <c r="K251">
        <v>1522.79</v>
      </c>
      <c r="L251">
        <v>1153.27</v>
      </c>
      <c r="M251">
        <v>213.18</v>
      </c>
      <c r="N251">
        <v>4397.1899999999996</v>
      </c>
      <c r="O251">
        <v>1.085</v>
      </c>
      <c r="P251">
        <v>3.927</v>
      </c>
      <c r="Q251">
        <v>24.829000000000001</v>
      </c>
      <c r="R251">
        <v>71.694999999999993</v>
      </c>
      <c r="S251">
        <v>28.305</v>
      </c>
      <c r="T251">
        <v>651.76</v>
      </c>
      <c r="U251">
        <v>138.33000000000001</v>
      </c>
      <c r="V251">
        <v>68.5</v>
      </c>
      <c r="W251">
        <v>29.8</v>
      </c>
      <c r="X251">
        <v>9.3000000000000007</v>
      </c>
    </row>
    <row r="252" spans="1:25" x14ac:dyDescent="0.25">
      <c r="A252" t="s">
        <v>52</v>
      </c>
      <c r="B252" t="s">
        <v>41</v>
      </c>
      <c r="C252" t="s">
        <v>31</v>
      </c>
      <c r="D252">
        <v>2017</v>
      </c>
      <c r="E252">
        <v>1412354730</v>
      </c>
      <c r="F252">
        <v>20894362082435</v>
      </c>
      <c r="G252">
        <v>6604.44</v>
      </c>
      <c r="H252">
        <v>6591.39</v>
      </c>
      <c r="I252">
        <v>117.8</v>
      </c>
      <c r="J252">
        <v>304.60000000000002</v>
      </c>
      <c r="K252">
        <v>1667.06</v>
      </c>
      <c r="L252">
        <v>1165.06</v>
      </c>
      <c r="M252">
        <v>248.1</v>
      </c>
      <c r="N252">
        <v>4689.28</v>
      </c>
      <c r="O252">
        <v>1.784</v>
      </c>
      <c r="P252">
        <v>4.6120000000000001</v>
      </c>
      <c r="Q252">
        <v>25.242000000000001</v>
      </c>
      <c r="R252">
        <v>71.001999999999995</v>
      </c>
      <c r="S252">
        <v>28.998000000000001</v>
      </c>
      <c r="T252">
        <v>644.21</v>
      </c>
      <c r="U252">
        <v>190.08</v>
      </c>
      <c r="V252">
        <v>77.099999999999994</v>
      </c>
      <c r="W252">
        <v>26.5</v>
      </c>
      <c r="X252">
        <v>9.5</v>
      </c>
    </row>
    <row r="253" spans="1:25" x14ac:dyDescent="0.25">
      <c r="A253" t="s">
        <v>52</v>
      </c>
      <c r="B253" t="s">
        <v>41</v>
      </c>
      <c r="C253" t="s">
        <v>31</v>
      </c>
      <c r="D253">
        <v>2018</v>
      </c>
      <c r="E253">
        <v>1419008954</v>
      </c>
      <c r="F253">
        <v>22294284747546</v>
      </c>
      <c r="G253">
        <v>7166.14</v>
      </c>
      <c r="H253">
        <v>7150.92</v>
      </c>
      <c r="I253">
        <v>176.9</v>
      </c>
      <c r="J253">
        <v>365.8</v>
      </c>
      <c r="K253">
        <v>1835.39</v>
      </c>
      <c r="L253">
        <v>1198.8900000000001</v>
      </c>
      <c r="M253">
        <v>295</v>
      </c>
      <c r="N253">
        <v>5035.75</v>
      </c>
      <c r="O253">
        <v>2.4689999999999999</v>
      </c>
      <c r="P253">
        <v>5.1050000000000004</v>
      </c>
      <c r="Q253">
        <v>25.611999999999998</v>
      </c>
      <c r="R253">
        <v>70.271000000000001</v>
      </c>
      <c r="S253">
        <v>29.728999999999999</v>
      </c>
      <c r="T253">
        <v>636.89</v>
      </c>
      <c r="U253">
        <v>244.22</v>
      </c>
      <c r="V253">
        <v>50.2</v>
      </c>
      <c r="W253">
        <v>20.100000000000001</v>
      </c>
      <c r="X253">
        <v>10.1</v>
      </c>
    </row>
    <row r="254" spans="1:25" x14ac:dyDescent="0.25">
      <c r="A254" t="s">
        <v>52</v>
      </c>
      <c r="B254" t="s">
        <v>41</v>
      </c>
      <c r="C254" t="s">
        <v>31</v>
      </c>
      <c r="D254">
        <v>2019</v>
      </c>
      <c r="E254">
        <v>1423520357</v>
      </c>
      <c r="F254">
        <v>23631941251482</v>
      </c>
      <c r="G254">
        <v>7503.43</v>
      </c>
      <c r="H254">
        <v>7486.63</v>
      </c>
      <c r="I254">
        <v>224</v>
      </c>
      <c r="J254">
        <v>405.3</v>
      </c>
      <c r="K254">
        <v>2014.64</v>
      </c>
      <c r="L254">
        <v>1272.54</v>
      </c>
      <c r="M254">
        <v>348.7</v>
      </c>
      <c r="N254">
        <v>5140.09</v>
      </c>
      <c r="O254">
        <v>2.9849999999999999</v>
      </c>
      <c r="P254">
        <v>5.4020000000000001</v>
      </c>
      <c r="Q254">
        <v>26.85</v>
      </c>
      <c r="R254">
        <v>68.503</v>
      </c>
      <c r="S254">
        <v>31.497</v>
      </c>
      <c r="T254">
        <v>619.63</v>
      </c>
      <c r="U254">
        <v>283.18</v>
      </c>
      <c r="V254">
        <v>26.6</v>
      </c>
      <c r="W254">
        <v>10.8</v>
      </c>
      <c r="X254">
        <v>9.8000000000000007</v>
      </c>
    </row>
    <row r="255" spans="1:25" x14ac:dyDescent="0.25">
      <c r="A255" t="s">
        <v>52</v>
      </c>
      <c r="B255" t="s">
        <v>41</v>
      </c>
      <c r="C255" t="s">
        <v>31</v>
      </c>
      <c r="D255">
        <v>2020</v>
      </c>
      <c r="E255">
        <v>1426106093</v>
      </c>
      <c r="F255">
        <v>24151843898871</v>
      </c>
      <c r="G255">
        <v>7779.07</v>
      </c>
      <c r="H255">
        <v>7762.03</v>
      </c>
      <c r="I255">
        <v>261.10000000000002</v>
      </c>
      <c r="J255">
        <v>466.5</v>
      </c>
      <c r="K255">
        <v>2185.0100000000002</v>
      </c>
      <c r="L255">
        <v>1321.71</v>
      </c>
      <c r="M255">
        <v>366.2</v>
      </c>
      <c r="N255">
        <v>5227.8599999999997</v>
      </c>
      <c r="O255">
        <v>3.3559999999999999</v>
      </c>
      <c r="P255">
        <v>5.9969999999999999</v>
      </c>
      <c r="Q255">
        <v>28.088000000000001</v>
      </c>
      <c r="R255">
        <v>67.203999999999994</v>
      </c>
      <c r="S255">
        <v>32.795999999999999</v>
      </c>
      <c r="T255">
        <v>606.29</v>
      </c>
      <c r="U255">
        <v>327.42</v>
      </c>
      <c r="V255">
        <v>16.600000000000001</v>
      </c>
      <c r="W255">
        <v>15.1</v>
      </c>
      <c r="X255">
        <v>8.5</v>
      </c>
      <c r="Y255" t="s">
        <v>55</v>
      </c>
    </row>
    <row r="256" spans="1:25" x14ac:dyDescent="0.25">
      <c r="A256" t="s">
        <v>52</v>
      </c>
      <c r="B256" t="s">
        <v>41</v>
      </c>
      <c r="C256" t="s">
        <v>31</v>
      </c>
      <c r="D256">
        <v>2021</v>
      </c>
      <c r="E256">
        <v>1426437269</v>
      </c>
      <c r="F256">
        <v>26180600167672</v>
      </c>
      <c r="G256">
        <v>8534.26</v>
      </c>
      <c r="H256">
        <v>8520.02</v>
      </c>
      <c r="I256">
        <v>327</v>
      </c>
      <c r="J256">
        <v>655.8</v>
      </c>
      <c r="K256">
        <v>2448.8000000000002</v>
      </c>
      <c r="L256">
        <v>1300</v>
      </c>
      <c r="M256">
        <v>407.5</v>
      </c>
      <c r="N256">
        <v>5677.96</v>
      </c>
      <c r="O256">
        <v>3.8319999999999999</v>
      </c>
      <c r="P256">
        <v>7.6840000000000002</v>
      </c>
      <c r="Q256">
        <v>28.693999999999999</v>
      </c>
      <c r="R256">
        <v>66.531000000000006</v>
      </c>
      <c r="S256">
        <v>33.469000000000001</v>
      </c>
      <c r="T256">
        <v>599.04999999999995</v>
      </c>
      <c r="U256">
        <v>442.26</v>
      </c>
      <c r="V256">
        <v>25.2</v>
      </c>
      <c r="W256">
        <v>40.6</v>
      </c>
      <c r="X256">
        <v>12.1</v>
      </c>
      <c r="Y256" t="s">
        <v>56</v>
      </c>
    </row>
    <row r="257" spans="1:24" x14ac:dyDescent="0.25">
      <c r="A257" t="s">
        <v>52</v>
      </c>
      <c r="B257" t="s">
        <v>41</v>
      </c>
      <c r="C257" t="s">
        <v>31</v>
      </c>
      <c r="D257">
        <v>2022</v>
      </c>
      <c r="E257">
        <v>1425179562</v>
      </c>
      <c r="F257">
        <v>26966016991166</v>
      </c>
      <c r="G257">
        <v>8848.7099999999991</v>
      </c>
      <c r="H257">
        <v>8835.76</v>
      </c>
      <c r="I257">
        <v>427.27</v>
      </c>
      <c r="J257">
        <v>762.67</v>
      </c>
      <c r="K257">
        <v>2670.66</v>
      </c>
      <c r="L257">
        <v>1298.1199999999999</v>
      </c>
      <c r="M257">
        <v>417.78</v>
      </c>
      <c r="N257">
        <v>5760.27</v>
      </c>
      <c r="O257">
        <v>4.8289999999999997</v>
      </c>
      <c r="P257">
        <v>8.6189999999999998</v>
      </c>
      <c r="Q257">
        <v>30.181000000000001</v>
      </c>
      <c r="R257">
        <v>65.096999999999994</v>
      </c>
      <c r="S257">
        <v>34.902999999999999</v>
      </c>
      <c r="T257">
        <v>586.75</v>
      </c>
      <c r="U257">
        <v>535.47</v>
      </c>
      <c r="V257">
        <v>30.7</v>
      </c>
      <c r="W257">
        <v>16.3</v>
      </c>
      <c r="X257">
        <v>9.1</v>
      </c>
    </row>
    <row r="258" spans="1:24" x14ac:dyDescent="0.25">
      <c r="A258" t="s">
        <v>52</v>
      </c>
      <c r="B258" t="s">
        <v>41</v>
      </c>
      <c r="C258" t="s">
        <v>31</v>
      </c>
      <c r="D258">
        <v>2023</v>
      </c>
      <c r="E258">
        <v>1422584930</v>
      </c>
      <c r="G258">
        <v>9456.4500000000007</v>
      </c>
      <c r="H258">
        <v>9439.3700000000008</v>
      </c>
      <c r="I258">
        <v>584.15</v>
      </c>
      <c r="J258">
        <v>885.87</v>
      </c>
      <c r="K258">
        <v>2894.22</v>
      </c>
      <c r="L258">
        <v>1226</v>
      </c>
      <c r="M258">
        <v>434.72</v>
      </c>
      <c r="N258">
        <v>6127.51</v>
      </c>
      <c r="O258">
        <v>6.1769999999999996</v>
      </c>
      <c r="P258">
        <v>9.3680000000000003</v>
      </c>
      <c r="Q258">
        <v>30.606000000000002</v>
      </c>
      <c r="R258">
        <v>64.796999999999997</v>
      </c>
      <c r="S258">
        <v>35.203000000000003</v>
      </c>
      <c r="T258">
        <v>583.04</v>
      </c>
      <c r="U258">
        <v>661.51</v>
      </c>
      <c r="V258">
        <v>36.700000000000003</v>
      </c>
      <c r="W258">
        <v>16.2</v>
      </c>
      <c r="X258">
        <v>8.4</v>
      </c>
    </row>
    <row r="259" spans="1:24" x14ac:dyDescent="0.25">
      <c r="A259" t="s">
        <v>52</v>
      </c>
      <c r="B259" t="s">
        <v>41</v>
      </c>
      <c r="C259" t="s">
        <v>31</v>
      </c>
      <c r="D259">
        <v>2024</v>
      </c>
      <c r="E259">
        <v>1419321284</v>
      </c>
      <c r="G259">
        <v>10086.879999999999</v>
      </c>
      <c r="H259">
        <v>10069.879999999999</v>
      </c>
      <c r="I259">
        <v>839.04</v>
      </c>
      <c r="J259">
        <v>997.04</v>
      </c>
      <c r="K259">
        <v>3398.83</v>
      </c>
      <c r="L259">
        <v>1354.25</v>
      </c>
      <c r="M259">
        <v>450.85</v>
      </c>
      <c r="N259">
        <v>6237.2</v>
      </c>
      <c r="O259">
        <v>8.3179999999999996</v>
      </c>
      <c r="P259">
        <v>9.8849999999999998</v>
      </c>
      <c r="Q259">
        <v>33.695999999999998</v>
      </c>
      <c r="R259">
        <v>61.835000000000001</v>
      </c>
      <c r="S259">
        <v>38.164999999999999</v>
      </c>
      <c r="T259">
        <v>555.4</v>
      </c>
      <c r="U259">
        <v>826.24</v>
      </c>
      <c r="V259">
        <v>43.6</v>
      </c>
      <c r="W259">
        <v>12.5</v>
      </c>
      <c r="X259">
        <v>17.399999999999999</v>
      </c>
    </row>
    <row r="260" spans="1:24" x14ac:dyDescent="0.25">
      <c r="A260" t="s">
        <v>52</v>
      </c>
      <c r="B260" t="s">
        <v>41</v>
      </c>
      <c r="C260" t="s">
        <v>31</v>
      </c>
      <c r="D260">
        <v>2025</v>
      </c>
      <c r="E260">
        <v>1416096093</v>
      </c>
      <c r="G260">
        <v>10583.36</v>
      </c>
      <c r="H260">
        <v>10563.9</v>
      </c>
      <c r="I260">
        <v>1174.96</v>
      </c>
      <c r="J260">
        <v>1135.44</v>
      </c>
      <c r="K260">
        <v>3920.47</v>
      </c>
      <c r="L260">
        <v>1397.06</v>
      </c>
      <c r="M260">
        <v>487.61</v>
      </c>
      <c r="N260">
        <v>6175.28</v>
      </c>
      <c r="O260">
        <v>11.102</v>
      </c>
      <c r="P260">
        <v>10.728999999999999</v>
      </c>
      <c r="Q260">
        <v>37.043999999999997</v>
      </c>
      <c r="R260">
        <v>58.348999999999997</v>
      </c>
      <c r="S260">
        <v>41.651000000000003</v>
      </c>
      <c r="T260">
        <v>525.34</v>
      </c>
      <c r="U260">
        <v>1039.68</v>
      </c>
      <c r="V260">
        <v>40</v>
      </c>
      <c r="W260">
        <v>13.9</v>
      </c>
      <c r="X260">
        <v>15.3</v>
      </c>
    </row>
    <row r="261" spans="1:24" x14ac:dyDescent="0.25">
      <c r="A261" t="s">
        <v>57</v>
      </c>
      <c r="B261" t="s">
        <v>30</v>
      </c>
      <c r="C261" t="s">
        <v>31</v>
      </c>
      <c r="D261">
        <v>2000</v>
      </c>
      <c r="E261">
        <v>39089939</v>
      </c>
      <c r="F261">
        <v>330615619673</v>
      </c>
      <c r="G261">
        <v>42.81</v>
      </c>
      <c r="H261">
        <v>42.85</v>
      </c>
      <c r="I261">
        <v>0.01</v>
      </c>
      <c r="J261">
        <v>0</v>
      </c>
      <c r="K261">
        <v>32.26</v>
      </c>
      <c r="L261">
        <v>31.75</v>
      </c>
      <c r="M261">
        <v>0</v>
      </c>
      <c r="N261">
        <v>10.55</v>
      </c>
      <c r="O261">
        <v>2.3E-2</v>
      </c>
      <c r="P261">
        <v>0</v>
      </c>
      <c r="Q261">
        <v>75.355999999999995</v>
      </c>
      <c r="R261">
        <v>24.643999999999998</v>
      </c>
      <c r="S261">
        <v>75.355999999999995</v>
      </c>
      <c r="T261">
        <v>189.21</v>
      </c>
      <c r="U261">
        <v>0</v>
      </c>
    </row>
    <row r="262" spans="1:24" x14ac:dyDescent="0.25">
      <c r="A262" t="s">
        <v>57</v>
      </c>
      <c r="B262" t="s">
        <v>30</v>
      </c>
      <c r="C262" t="s">
        <v>31</v>
      </c>
      <c r="D262">
        <v>2001</v>
      </c>
      <c r="E262">
        <v>39709263</v>
      </c>
      <c r="F262">
        <v>336096684249</v>
      </c>
      <c r="G262">
        <v>43.14</v>
      </c>
      <c r="H262">
        <v>42.97</v>
      </c>
      <c r="I262">
        <v>0.01</v>
      </c>
      <c r="J262">
        <v>0</v>
      </c>
      <c r="K262">
        <v>31.99</v>
      </c>
      <c r="L262">
        <v>31.48</v>
      </c>
      <c r="M262">
        <v>0</v>
      </c>
      <c r="N262">
        <v>11.15</v>
      </c>
      <c r="O262">
        <v>2.3E-2</v>
      </c>
      <c r="P262">
        <v>0</v>
      </c>
      <c r="Q262">
        <v>74.153999999999996</v>
      </c>
      <c r="R262">
        <v>25.846</v>
      </c>
      <c r="S262">
        <v>74.153999999999996</v>
      </c>
      <c r="T262">
        <v>197.73</v>
      </c>
      <c r="U262">
        <v>0</v>
      </c>
      <c r="V262">
        <v>0</v>
      </c>
      <c r="X262">
        <v>-0.8</v>
      </c>
    </row>
    <row r="263" spans="1:24" x14ac:dyDescent="0.25">
      <c r="A263" t="s">
        <v>57</v>
      </c>
      <c r="B263" t="s">
        <v>30</v>
      </c>
      <c r="C263" t="s">
        <v>31</v>
      </c>
      <c r="D263">
        <v>2002</v>
      </c>
      <c r="E263">
        <v>40324684</v>
      </c>
      <c r="F263">
        <v>344517683680</v>
      </c>
      <c r="G263">
        <v>44.71</v>
      </c>
      <c r="H263">
        <v>44.1</v>
      </c>
      <c r="I263">
        <v>0.01</v>
      </c>
      <c r="J263">
        <v>0</v>
      </c>
      <c r="K263">
        <v>34.130000000000003</v>
      </c>
      <c r="L263">
        <v>33.630000000000003</v>
      </c>
      <c r="M263">
        <v>0</v>
      </c>
      <c r="N263">
        <v>10.58</v>
      </c>
      <c r="O263">
        <v>2.1999999999999999E-2</v>
      </c>
      <c r="P263">
        <v>0</v>
      </c>
      <c r="Q263">
        <v>76.335999999999999</v>
      </c>
      <c r="R263">
        <v>23.664000000000001</v>
      </c>
      <c r="S263">
        <v>76.335999999999999</v>
      </c>
      <c r="T263">
        <v>183.4</v>
      </c>
      <c r="U263">
        <v>0</v>
      </c>
      <c r="V263">
        <v>0</v>
      </c>
      <c r="X263">
        <v>6.7</v>
      </c>
    </row>
    <row r="264" spans="1:24" x14ac:dyDescent="0.25">
      <c r="A264" t="s">
        <v>57</v>
      </c>
      <c r="B264" t="s">
        <v>30</v>
      </c>
      <c r="C264" t="s">
        <v>31</v>
      </c>
      <c r="D264">
        <v>2003</v>
      </c>
      <c r="E264">
        <v>40937426</v>
      </c>
      <c r="F264">
        <v>357889195415</v>
      </c>
      <c r="G264">
        <v>46.2</v>
      </c>
      <c r="H264">
        <v>45.09</v>
      </c>
      <c r="I264">
        <v>0.01</v>
      </c>
      <c r="J264">
        <v>0</v>
      </c>
      <c r="K264">
        <v>36.32</v>
      </c>
      <c r="L264">
        <v>35.81</v>
      </c>
      <c r="M264">
        <v>0</v>
      </c>
      <c r="N264">
        <v>9.8800000000000008</v>
      </c>
      <c r="O264">
        <v>2.1999999999999999E-2</v>
      </c>
      <c r="P264">
        <v>0</v>
      </c>
      <c r="Q264">
        <v>78.614999999999995</v>
      </c>
      <c r="R264">
        <v>21.385000000000002</v>
      </c>
      <c r="S264">
        <v>78.614999999999995</v>
      </c>
      <c r="T264">
        <v>172.08</v>
      </c>
      <c r="U264">
        <v>0</v>
      </c>
      <c r="V264">
        <v>0</v>
      </c>
      <c r="X264">
        <v>6.4</v>
      </c>
    </row>
    <row r="265" spans="1:24" x14ac:dyDescent="0.25">
      <c r="A265" t="s">
        <v>57</v>
      </c>
      <c r="B265" t="s">
        <v>30</v>
      </c>
      <c r="C265" t="s">
        <v>31</v>
      </c>
      <c r="D265">
        <v>2004</v>
      </c>
      <c r="E265">
        <v>41543177</v>
      </c>
      <c r="F265">
        <v>376728225954</v>
      </c>
      <c r="G265">
        <v>49.33</v>
      </c>
      <c r="H265">
        <v>47.7</v>
      </c>
      <c r="I265">
        <v>0.01</v>
      </c>
      <c r="J265">
        <v>0.05</v>
      </c>
      <c r="K265">
        <v>40.21</v>
      </c>
      <c r="L265">
        <v>39.68</v>
      </c>
      <c r="M265">
        <v>0</v>
      </c>
      <c r="N265">
        <v>9.1199999999999992</v>
      </c>
      <c r="O265">
        <v>0.02</v>
      </c>
      <c r="P265">
        <v>0.10100000000000001</v>
      </c>
      <c r="Q265">
        <v>81.512</v>
      </c>
      <c r="R265">
        <v>18.488</v>
      </c>
      <c r="S265">
        <v>81.512</v>
      </c>
      <c r="T265">
        <v>148.38999999999999</v>
      </c>
      <c r="U265">
        <v>0.03</v>
      </c>
      <c r="V265">
        <v>0</v>
      </c>
      <c r="X265">
        <v>10.7</v>
      </c>
    </row>
    <row r="266" spans="1:24" x14ac:dyDescent="0.25">
      <c r="A266" t="s">
        <v>57</v>
      </c>
      <c r="B266" t="s">
        <v>30</v>
      </c>
      <c r="C266" t="s">
        <v>31</v>
      </c>
      <c r="D266">
        <v>2005</v>
      </c>
      <c r="E266">
        <v>42128978</v>
      </c>
      <c r="F266">
        <v>394076061209</v>
      </c>
      <c r="G266">
        <v>49.94</v>
      </c>
      <c r="H266">
        <v>48.2</v>
      </c>
      <c r="I266">
        <v>0.01</v>
      </c>
      <c r="J266">
        <v>0.05</v>
      </c>
      <c r="K266">
        <v>39.96</v>
      </c>
      <c r="L266">
        <v>39.4</v>
      </c>
      <c r="M266">
        <v>0</v>
      </c>
      <c r="N266">
        <v>9.98</v>
      </c>
      <c r="O266">
        <v>0.02</v>
      </c>
      <c r="P266">
        <v>0.1</v>
      </c>
      <c r="Q266">
        <v>80.016000000000005</v>
      </c>
      <c r="R266">
        <v>19.984000000000002</v>
      </c>
      <c r="S266">
        <v>80.016000000000005</v>
      </c>
      <c r="T266">
        <v>159.99</v>
      </c>
      <c r="U266">
        <v>0.03</v>
      </c>
      <c r="V266">
        <v>0</v>
      </c>
      <c r="W266">
        <v>0</v>
      </c>
      <c r="X266">
        <v>-0.6</v>
      </c>
    </row>
    <row r="267" spans="1:24" x14ac:dyDescent="0.25">
      <c r="A267" t="s">
        <v>57</v>
      </c>
      <c r="B267" t="s">
        <v>30</v>
      </c>
      <c r="C267" t="s">
        <v>31</v>
      </c>
      <c r="D267">
        <v>2006</v>
      </c>
      <c r="E267">
        <v>42691081</v>
      </c>
      <c r="F267">
        <v>420283862175</v>
      </c>
      <c r="G267">
        <v>53.34</v>
      </c>
      <c r="H267">
        <v>51.55</v>
      </c>
      <c r="I267">
        <v>0.01</v>
      </c>
      <c r="J267">
        <v>0.06</v>
      </c>
      <c r="K267">
        <v>42.91</v>
      </c>
      <c r="L267">
        <v>42.31</v>
      </c>
      <c r="M267">
        <v>0</v>
      </c>
      <c r="N267">
        <v>10.43</v>
      </c>
      <c r="O267">
        <v>1.9E-2</v>
      </c>
      <c r="P267">
        <v>0.112</v>
      </c>
      <c r="Q267">
        <v>80.445999999999998</v>
      </c>
      <c r="R267">
        <v>19.553999999999998</v>
      </c>
      <c r="S267">
        <v>80.445999999999998</v>
      </c>
      <c r="T267">
        <v>158.97999999999999</v>
      </c>
      <c r="U267">
        <v>0.03</v>
      </c>
      <c r="V267">
        <v>0</v>
      </c>
      <c r="W267">
        <v>20</v>
      </c>
      <c r="X267">
        <v>7.4</v>
      </c>
    </row>
    <row r="268" spans="1:24" x14ac:dyDescent="0.25">
      <c r="A268" t="s">
        <v>57</v>
      </c>
      <c r="B268" t="s">
        <v>30</v>
      </c>
      <c r="C268" t="s">
        <v>31</v>
      </c>
      <c r="D268">
        <v>2007</v>
      </c>
      <c r="E268">
        <v>43235374</v>
      </c>
      <c r="F268">
        <v>448731322364</v>
      </c>
      <c r="G268">
        <v>54.79</v>
      </c>
      <c r="H268">
        <v>53.95</v>
      </c>
      <c r="I268">
        <v>0.01</v>
      </c>
      <c r="J268">
        <v>0.05</v>
      </c>
      <c r="K268">
        <v>44.59</v>
      </c>
      <c r="L268">
        <v>44</v>
      </c>
      <c r="M268">
        <v>0</v>
      </c>
      <c r="N268">
        <v>10.199999999999999</v>
      </c>
      <c r="O268">
        <v>1.7999999999999999E-2</v>
      </c>
      <c r="P268">
        <v>9.0999999999999998E-2</v>
      </c>
      <c r="Q268">
        <v>81.382999999999996</v>
      </c>
      <c r="R268">
        <v>18.617000000000001</v>
      </c>
      <c r="S268">
        <v>81.382999999999996</v>
      </c>
      <c r="T268">
        <v>155.13999999999999</v>
      </c>
      <c r="U268">
        <v>0.03</v>
      </c>
      <c r="V268">
        <v>0</v>
      </c>
      <c r="W268">
        <v>-16.7</v>
      </c>
      <c r="X268">
        <v>3.9</v>
      </c>
    </row>
    <row r="269" spans="1:24" x14ac:dyDescent="0.25">
      <c r="A269" t="s">
        <v>57</v>
      </c>
      <c r="B269" t="s">
        <v>30</v>
      </c>
      <c r="C269" t="s">
        <v>31</v>
      </c>
      <c r="D269">
        <v>2008</v>
      </c>
      <c r="E269">
        <v>43758805</v>
      </c>
      <c r="F269">
        <v>464038717488</v>
      </c>
      <c r="G269">
        <v>55.48</v>
      </c>
      <c r="H269">
        <v>54.08</v>
      </c>
      <c r="I269">
        <v>0.01</v>
      </c>
      <c r="J269">
        <v>0.05</v>
      </c>
      <c r="K269">
        <v>46.54</v>
      </c>
      <c r="L269">
        <v>45.94</v>
      </c>
      <c r="M269">
        <v>0</v>
      </c>
      <c r="N269">
        <v>8.94</v>
      </c>
      <c r="O269">
        <v>1.7999999999999999E-2</v>
      </c>
      <c r="P269">
        <v>0.09</v>
      </c>
      <c r="Q269">
        <v>83.885999999999996</v>
      </c>
      <c r="R269">
        <v>16.114000000000001</v>
      </c>
      <c r="S269">
        <v>83.885999999999996</v>
      </c>
      <c r="T269">
        <v>137.53</v>
      </c>
      <c r="U269">
        <v>0.03</v>
      </c>
      <c r="V269">
        <v>0</v>
      </c>
      <c r="W269">
        <v>0</v>
      </c>
      <c r="X269">
        <v>4.4000000000000004</v>
      </c>
    </row>
    <row r="270" spans="1:24" x14ac:dyDescent="0.25">
      <c r="A270" t="s">
        <v>57</v>
      </c>
      <c r="B270" t="s">
        <v>30</v>
      </c>
      <c r="C270" t="s">
        <v>31</v>
      </c>
      <c r="D270">
        <v>2009</v>
      </c>
      <c r="E270">
        <v>44271543</v>
      </c>
      <c r="F270">
        <v>471326580093</v>
      </c>
      <c r="G270">
        <v>56.75</v>
      </c>
      <c r="H270">
        <v>55.69</v>
      </c>
      <c r="I270">
        <v>0.01</v>
      </c>
      <c r="J270">
        <v>0.06</v>
      </c>
      <c r="K270">
        <v>41.25</v>
      </c>
      <c r="L270">
        <v>40.64</v>
      </c>
      <c r="M270">
        <v>0</v>
      </c>
      <c r="N270">
        <v>15.5</v>
      </c>
      <c r="O270">
        <v>1.7999999999999999E-2</v>
      </c>
      <c r="P270">
        <v>0.106</v>
      </c>
      <c r="Q270">
        <v>72.686999999999998</v>
      </c>
      <c r="R270">
        <v>27.312999999999999</v>
      </c>
      <c r="S270">
        <v>72.686999999999998</v>
      </c>
      <c r="T270">
        <v>211.63</v>
      </c>
      <c r="U270">
        <v>0.03</v>
      </c>
      <c r="V270">
        <v>0</v>
      </c>
      <c r="W270">
        <v>20</v>
      </c>
      <c r="X270">
        <v>-11.4</v>
      </c>
    </row>
    <row r="271" spans="1:24" x14ac:dyDescent="0.25">
      <c r="A271" t="s">
        <v>57</v>
      </c>
      <c r="B271" t="s">
        <v>30</v>
      </c>
      <c r="C271" t="s">
        <v>31</v>
      </c>
      <c r="D271">
        <v>2010</v>
      </c>
      <c r="E271">
        <v>44777325</v>
      </c>
      <c r="F271">
        <v>489870174161</v>
      </c>
      <c r="G271">
        <v>60.23</v>
      </c>
      <c r="H271">
        <v>59.44</v>
      </c>
      <c r="I271">
        <v>0.01</v>
      </c>
      <c r="J271">
        <v>0.04</v>
      </c>
      <c r="K271">
        <v>42.47</v>
      </c>
      <c r="L271">
        <v>40</v>
      </c>
      <c r="M271">
        <v>0</v>
      </c>
      <c r="N271">
        <v>17.760000000000002</v>
      </c>
      <c r="O271">
        <v>1.7000000000000001E-2</v>
      </c>
      <c r="P271">
        <v>6.6000000000000003E-2</v>
      </c>
      <c r="Q271">
        <v>70.513000000000005</v>
      </c>
      <c r="R271">
        <v>29.486999999999998</v>
      </c>
      <c r="S271">
        <v>70.513000000000005</v>
      </c>
      <c r="T271">
        <v>229.45</v>
      </c>
      <c r="U271">
        <v>0.02</v>
      </c>
      <c r="V271">
        <v>0</v>
      </c>
      <c r="W271">
        <v>-33.299999999999997</v>
      </c>
      <c r="X271">
        <v>3</v>
      </c>
    </row>
    <row r="272" spans="1:24" x14ac:dyDescent="0.25">
      <c r="A272" t="s">
        <v>57</v>
      </c>
      <c r="B272" t="s">
        <v>30</v>
      </c>
      <c r="C272" t="s">
        <v>31</v>
      </c>
      <c r="D272">
        <v>2011</v>
      </c>
      <c r="E272">
        <v>45259614</v>
      </c>
      <c r="F272">
        <v>521323240921</v>
      </c>
      <c r="G272">
        <v>61.7</v>
      </c>
      <c r="H272">
        <v>60.17</v>
      </c>
      <c r="I272">
        <v>0.01</v>
      </c>
      <c r="J272">
        <v>0.04</v>
      </c>
      <c r="K272">
        <v>50.44</v>
      </c>
      <c r="L272">
        <v>48.39</v>
      </c>
      <c r="M272">
        <v>0</v>
      </c>
      <c r="N272">
        <v>11.26</v>
      </c>
      <c r="O272">
        <v>1.6E-2</v>
      </c>
      <c r="P272">
        <v>6.5000000000000002E-2</v>
      </c>
      <c r="Q272">
        <v>81.75</v>
      </c>
      <c r="R272">
        <v>18.25</v>
      </c>
      <c r="S272">
        <v>81.75</v>
      </c>
      <c r="T272">
        <v>151.38</v>
      </c>
      <c r="U272">
        <v>0.02</v>
      </c>
      <c r="V272">
        <v>0</v>
      </c>
      <c r="W272">
        <v>0</v>
      </c>
      <c r="X272">
        <v>18.8</v>
      </c>
    </row>
    <row r="273" spans="1:25" x14ac:dyDescent="0.25">
      <c r="A273" t="s">
        <v>57</v>
      </c>
      <c r="B273" t="s">
        <v>30</v>
      </c>
      <c r="C273" t="s">
        <v>31</v>
      </c>
      <c r="D273">
        <v>2012</v>
      </c>
      <c r="E273">
        <v>45715807</v>
      </c>
      <c r="F273">
        <v>541722649583</v>
      </c>
      <c r="G273">
        <v>63.06</v>
      </c>
      <c r="H273">
        <v>62.35</v>
      </c>
      <c r="I273">
        <v>0.01</v>
      </c>
      <c r="J273">
        <v>0.05</v>
      </c>
      <c r="K273">
        <v>49.12</v>
      </c>
      <c r="L273">
        <v>47.11</v>
      </c>
      <c r="M273">
        <v>0</v>
      </c>
      <c r="N273">
        <v>13.94</v>
      </c>
      <c r="O273">
        <v>1.6E-2</v>
      </c>
      <c r="P273">
        <v>7.9000000000000001E-2</v>
      </c>
      <c r="Q273">
        <v>77.894000000000005</v>
      </c>
      <c r="R273">
        <v>22.106000000000002</v>
      </c>
      <c r="S273">
        <v>77.894000000000005</v>
      </c>
      <c r="T273">
        <v>179.04</v>
      </c>
      <c r="U273">
        <v>0.03</v>
      </c>
      <c r="V273">
        <v>0</v>
      </c>
      <c r="W273">
        <v>25</v>
      </c>
      <c r="X273">
        <v>-2.6</v>
      </c>
    </row>
    <row r="274" spans="1:25" x14ac:dyDescent="0.25">
      <c r="A274" t="s">
        <v>57</v>
      </c>
      <c r="B274" t="s">
        <v>30</v>
      </c>
      <c r="C274" t="s">
        <v>31</v>
      </c>
      <c r="D274">
        <v>2013</v>
      </c>
      <c r="E274">
        <v>46151583</v>
      </c>
      <c r="F274">
        <v>569534665242</v>
      </c>
      <c r="G274">
        <v>73.510000000000005</v>
      </c>
      <c r="H274">
        <v>72.16</v>
      </c>
      <c r="I274">
        <v>0.01</v>
      </c>
      <c r="J274">
        <v>0.06</v>
      </c>
      <c r="K274">
        <v>50.88</v>
      </c>
      <c r="L274">
        <v>49.76</v>
      </c>
      <c r="M274">
        <v>0</v>
      </c>
      <c r="N274">
        <v>22.63</v>
      </c>
      <c r="O274">
        <v>1.4E-2</v>
      </c>
      <c r="P274">
        <v>8.2000000000000003E-2</v>
      </c>
      <c r="Q274">
        <v>69.215000000000003</v>
      </c>
      <c r="R274">
        <v>30.785</v>
      </c>
      <c r="S274">
        <v>69.215000000000003</v>
      </c>
      <c r="T274">
        <v>236.02</v>
      </c>
      <c r="U274">
        <v>0.03</v>
      </c>
      <c r="V274">
        <v>0</v>
      </c>
      <c r="W274">
        <v>20</v>
      </c>
      <c r="X274">
        <v>3.6</v>
      </c>
    </row>
    <row r="275" spans="1:25" x14ac:dyDescent="0.25">
      <c r="A275" t="s">
        <v>57</v>
      </c>
      <c r="B275" t="s">
        <v>30</v>
      </c>
      <c r="C275" t="s">
        <v>31</v>
      </c>
      <c r="D275">
        <v>2014</v>
      </c>
      <c r="E275">
        <v>46565426</v>
      </c>
      <c r="F275">
        <v>595158021031</v>
      </c>
      <c r="G275">
        <v>70.459999999999994</v>
      </c>
      <c r="H275">
        <v>69.66</v>
      </c>
      <c r="I275">
        <v>0.01</v>
      </c>
      <c r="J275">
        <v>7.0000000000000007E-2</v>
      </c>
      <c r="K275">
        <v>48.68</v>
      </c>
      <c r="L275">
        <v>47.25</v>
      </c>
      <c r="M275">
        <v>0</v>
      </c>
      <c r="N275">
        <v>21.78</v>
      </c>
      <c r="O275">
        <v>1.4E-2</v>
      </c>
      <c r="P275">
        <v>9.9000000000000005E-2</v>
      </c>
      <c r="Q275">
        <v>69.088999999999999</v>
      </c>
      <c r="R275">
        <v>30.911000000000001</v>
      </c>
      <c r="S275">
        <v>69.088999999999999</v>
      </c>
      <c r="T275">
        <v>236.73</v>
      </c>
      <c r="U275">
        <v>0.04</v>
      </c>
      <c r="V275">
        <v>0</v>
      </c>
      <c r="W275">
        <v>16.7</v>
      </c>
      <c r="X275">
        <v>-4.3</v>
      </c>
    </row>
    <row r="276" spans="1:25" x14ac:dyDescent="0.25">
      <c r="A276" t="s">
        <v>57</v>
      </c>
      <c r="B276" t="s">
        <v>30</v>
      </c>
      <c r="C276" t="s">
        <v>31</v>
      </c>
      <c r="D276">
        <v>2015</v>
      </c>
      <c r="E276">
        <v>46969938</v>
      </c>
      <c r="F276">
        <v>612750891790</v>
      </c>
      <c r="G276">
        <v>77.97</v>
      </c>
      <c r="H276">
        <v>77.56</v>
      </c>
      <c r="I276">
        <v>0.01</v>
      </c>
      <c r="J276">
        <v>7.0000000000000007E-2</v>
      </c>
      <c r="K276">
        <v>49.39</v>
      </c>
      <c r="L276">
        <v>47.94</v>
      </c>
      <c r="M276">
        <v>0</v>
      </c>
      <c r="N276">
        <v>28.58</v>
      </c>
      <c r="O276">
        <v>1.2999999999999999E-2</v>
      </c>
      <c r="P276">
        <v>0.09</v>
      </c>
      <c r="Q276">
        <v>63.344999999999999</v>
      </c>
      <c r="R276">
        <v>36.655000000000001</v>
      </c>
      <c r="S276">
        <v>63.344999999999999</v>
      </c>
      <c r="T276">
        <v>275.36</v>
      </c>
      <c r="U276">
        <v>0.04</v>
      </c>
      <c r="V276">
        <v>0</v>
      </c>
      <c r="W276">
        <v>0</v>
      </c>
      <c r="X276">
        <v>1.5</v>
      </c>
    </row>
    <row r="277" spans="1:25" x14ac:dyDescent="0.25">
      <c r="A277" t="s">
        <v>57</v>
      </c>
      <c r="B277" t="s">
        <v>30</v>
      </c>
      <c r="C277" t="s">
        <v>31</v>
      </c>
      <c r="D277">
        <v>2016</v>
      </c>
      <c r="E277">
        <v>47437513</v>
      </c>
      <c r="F277">
        <v>625545111723</v>
      </c>
      <c r="G277">
        <v>76.17</v>
      </c>
      <c r="H277">
        <v>76.5</v>
      </c>
      <c r="I277">
        <v>0.01</v>
      </c>
      <c r="J277">
        <v>0.05</v>
      </c>
      <c r="K277">
        <v>49.98</v>
      </c>
      <c r="L277">
        <v>48.46</v>
      </c>
      <c r="M277">
        <v>0</v>
      </c>
      <c r="N277">
        <v>26.19</v>
      </c>
      <c r="O277">
        <v>1.2999999999999999E-2</v>
      </c>
      <c r="P277">
        <v>6.6000000000000003E-2</v>
      </c>
      <c r="Q277">
        <v>65.616</v>
      </c>
      <c r="R277">
        <v>34.384</v>
      </c>
      <c r="S277">
        <v>65.616</v>
      </c>
      <c r="T277">
        <v>259.55</v>
      </c>
      <c r="U277">
        <v>0.03</v>
      </c>
      <c r="V277">
        <v>0</v>
      </c>
      <c r="W277">
        <v>-28.6</v>
      </c>
      <c r="X277">
        <v>1.2</v>
      </c>
    </row>
    <row r="278" spans="1:25" x14ac:dyDescent="0.25">
      <c r="A278" t="s">
        <v>57</v>
      </c>
      <c r="B278" t="s">
        <v>30</v>
      </c>
      <c r="C278" t="s">
        <v>31</v>
      </c>
      <c r="D278">
        <v>2017</v>
      </c>
      <c r="E278">
        <v>48131076</v>
      </c>
      <c r="F278">
        <v>634046295892</v>
      </c>
      <c r="G278">
        <v>78.47</v>
      </c>
      <c r="H278">
        <v>78.540000000000006</v>
      </c>
      <c r="I278">
        <v>0.01</v>
      </c>
      <c r="J278">
        <v>0</v>
      </c>
      <c r="K278">
        <v>62.07</v>
      </c>
      <c r="L278">
        <v>60.64</v>
      </c>
      <c r="M278">
        <v>0</v>
      </c>
      <c r="N278">
        <v>16.399999999999999</v>
      </c>
      <c r="O278">
        <v>1.2999999999999999E-2</v>
      </c>
      <c r="P278">
        <v>0</v>
      </c>
      <c r="Q278">
        <v>79.099999999999994</v>
      </c>
      <c r="R278">
        <v>20.9</v>
      </c>
      <c r="S278">
        <v>79.099999999999994</v>
      </c>
      <c r="T278">
        <v>166.18</v>
      </c>
      <c r="U278">
        <v>0</v>
      </c>
      <c r="V278">
        <v>0</v>
      </c>
      <c r="W278">
        <v>-100</v>
      </c>
      <c r="X278">
        <v>24.2</v>
      </c>
    </row>
    <row r="279" spans="1:25" x14ac:dyDescent="0.25">
      <c r="A279" t="s">
        <v>57</v>
      </c>
      <c r="B279" t="s">
        <v>30</v>
      </c>
      <c r="C279" t="s">
        <v>31</v>
      </c>
      <c r="D279">
        <v>2018</v>
      </c>
      <c r="E279">
        <v>49024463</v>
      </c>
      <c r="F279">
        <v>650303209362</v>
      </c>
      <c r="G279">
        <v>78.209999999999994</v>
      </c>
      <c r="H279">
        <v>78.319999999999993</v>
      </c>
      <c r="I279">
        <v>0.02</v>
      </c>
      <c r="J279">
        <v>0.04</v>
      </c>
      <c r="K279">
        <v>59.7</v>
      </c>
      <c r="L279">
        <v>58.19</v>
      </c>
      <c r="M279">
        <v>0</v>
      </c>
      <c r="N279">
        <v>18.510000000000002</v>
      </c>
      <c r="O279">
        <v>2.5999999999999999E-2</v>
      </c>
      <c r="P279">
        <v>5.0999999999999997E-2</v>
      </c>
      <c r="Q279">
        <v>76.332999999999998</v>
      </c>
      <c r="R279">
        <v>23.667000000000002</v>
      </c>
      <c r="S279">
        <v>76.332999999999998</v>
      </c>
      <c r="T279">
        <v>187.44</v>
      </c>
      <c r="U279">
        <v>0.03</v>
      </c>
      <c r="V279">
        <v>100</v>
      </c>
      <c r="X279">
        <v>-3.8</v>
      </c>
    </row>
    <row r="280" spans="1:25" x14ac:dyDescent="0.25">
      <c r="A280" t="s">
        <v>57</v>
      </c>
      <c r="B280" t="s">
        <v>30</v>
      </c>
      <c r="C280" t="s">
        <v>31</v>
      </c>
      <c r="D280">
        <v>2019</v>
      </c>
      <c r="E280">
        <v>49907987</v>
      </c>
      <c r="F280">
        <v>671028388046</v>
      </c>
      <c r="G280">
        <v>78.78</v>
      </c>
      <c r="H280">
        <v>79.09</v>
      </c>
      <c r="I280">
        <v>0.13</v>
      </c>
      <c r="J280">
        <v>0.06</v>
      </c>
      <c r="K280">
        <v>54.74</v>
      </c>
      <c r="L280">
        <v>52.98</v>
      </c>
      <c r="M280">
        <v>0</v>
      </c>
      <c r="N280">
        <v>24.04</v>
      </c>
      <c r="O280">
        <v>0.16500000000000001</v>
      </c>
      <c r="P280">
        <v>7.5999999999999998E-2</v>
      </c>
      <c r="Q280">
        <v>69.484999999999999</v>
      </c>
      <c r="R280">
        <v>30.515000000000001</v>
      </c>
      <c r="S280">
        <v>69.484999999999999</v>
      </c>
      <c r="T280">
        <v>240.92</v>
      </c>
      <c r="U280">
        <v>0.09</v>
      </c>
      <c r="V280">
        <v>550</v>
      </c>
      <c r="W280">
        <v>50</v>
      </c>
      <c r="X280">
        <v>-8.3000000000000007</v>
      </c>
    </row>
    <row r="281" spans="1:25" x14ac:dyDescent="0.25">
      <c r="A281" t="s">
        <v>57</v>
      </c>
      <c r="B281" t="s">
        <v>30</v>
      </c>
      <c r="C281" t="s">
        <v>31</v>
      </c>
      <c r="D281">
        <v>2020</v>
      </c>
      <c r="E281">
        <v>50629997</v>
      </c>
      <c r="F281">
        <v>622365414246</v>
      </c>
      <c r="G281">
        <v>77.75</v>
      </c>
      <c r="H281">
        <v>78.8</v>
      </c>
      <c r="I281">
        <v>0.19</v>
      </c>
      <c r="J281">
        <v>0.01</v>
      </c>
      <c r="K281">
        <v>50.79</v>
      </c>
      <c r="L281">
        <v>48.44</v>
      </c>
      <c r="M281">
        <v>0</v>
      </c>
      <c r="N281">
        <v>26.96</v>
      </c>
      <c r="O281">
        <v>0.24399999999999999</v>
      </c>
      <c r="P281">
        <v>1.2999999999999999E-2</v>
      </c>
      <c r="Q281">
        <v>65.325000000000003</v>
      </c>
      <c r="R281">
        <v>34.674999999999997</v>
      </c>
      <c r="S281">
        <v>65.325000000000003</v>
      </c>
      <c r="T281">
        <v>271.25</v>
      </c>
      <c r="U281">
        <v>0.09</v>
      </c>
      <c r="V281">
        <v>46.2</v>
      </c>
      <c r="W281">
        <v>-83.3</v>
      </c>
      <c r="X281">
        <v>-7.2</v>
      </c>
    </row>
    <row r="282" spans="1:25" x14ac:dyDescent="0.25">
      <c r="A282" t="s">
        <v>57</v>
      </c>
      <c r="B282" t="s">
        <v>30</v>
      </c>
      <c r="C282" t="s">
        <v>31</v>
      </c>
      <c r="D282">
        <v>2021</v>
      </c>
      <c r="E282">
        <v>51188174</v>
      </c>
      <c r="F282">
        <v>690925195330</v>
      </c>
      <c r="G282">
        <v>84.36</v>
      </c>
      <c r="H282">
        <v>84.48</v>
      </c>
      <c r="I282">
        <v>0.33</v>
      </c>
      <c r="J282">
        <v>0.06</v>
      </c>
      <c r="K282">
        <v>63.33</v>
      </c>
      <c r="L282">
        <v>60.7</v>
      </c>
      <c r="M282">
        <v>0</v>
      </c>
      <c r="N282">
        <v>21.03</v>
      </c>
      <c r="O282">
        <v>0.39100000000000001</v>
      </c>
      <c r="P282">
        <v>7.0999999999999994E-2</v>
      </c>
      <c r="Q282">
        <v>75.070999999999998</v>
      </c>
      <c r="R282">
        <v>24.928999999999998</v>
      </c>
      <c r="S282">
        <v>75.070999999999998</v>
      </c>
      <c r="T282">
        <v>195.83</v>
      </c>
      <c r="U282">
        <v>0.18</v>
      </c>
      <c r="V282">
        <v>73.7</v>
      </c>
      <c r="W282">
        <v>500</v>
      </c>
      <c r="X282">
        <v>24.7</v>
      </c>
      <c r="Y282" t="s">
        <v>58</v>
      </c>
    </row>
    <row r="283" spans="1:25" x14ac:dyDescent="0.25">
      <c r="A283" t="s">
        <v>57</v>
      </c>
      <c r="B283" t="s">
        <v>30</v>
      </c>
      <c r="C283" t="s">
        <v>31</v>
      </c>
      <c r="D283">
        <v>2022</v>
      </c>
      <c r="E283">
        <v>51737944</v>
      </c>
      <c r="F283">
        <v>742716953392</v>
      </c>
      <c r="G283">
        <v>82.86</v>
      </c>
      <c r="H283">
        <v>83.29</v>
      </c>
      <c r="I283">
        <v>0.63</v>
      </c>
      <c r="J283">
        <v>7.0000000000000007E-2</v>
      </c>
      <c r="K283">
        <v>61.61</v>
      </c>
      <c r="L283">
        <v>58.73</v>
      </c>
      <c r="M283">
        <v>0</v>
      </c>
      <c r="N283">
        <v>21.25</v>
      </c>
      <c r="O283">
        <v>0.76</v>
      </c>
      <c r="P283">
        <v>8.4000000000000005E-2</v>
      </c>
      <c r="Q283">
        <v>74.353999999999999</v>
      </c>
      <c r="R283">
        <v>25.646000000000001</v>
      </c>
      <c r="S283">
        <v>74.353999999999999</v>
      </c>
      <c r="T283">
        <v>202.15</v>
      </c>
      <c r="U283">
        <v>0.32</v>
      </c>
      <c r="V283">
        <v>90.9</v>
      </c>
      <c r="W283">
        <v>16.7</v>
      </c>
      <c r="X283">
        <v>-2.7</v>
      </c>
    </row>
    <row r="284" spans="1:25" x14ac:dyDescent="0.25">
      <c r="A284" t="s">
        <v>57</v>
      </c>
      <c r="B284" t="s">
        <v>30</v>
      </c>
      <c r="C284" t="s">
        <v>31</v>
      </c>
      <c r="D284">
        <v>2023</v>
      </c>
      <c r="E284">
        <v>52321152</v>
      </c>
      <c r="G284">
        <v>86.58</v>
      </c>
      <c r="H284">
        <v>86.58</v>
      </c>
      <c r="I284">
        <v>1.35</v>
      </c>
      <c r="J284">
        <v>0.22</v>
      </c>
      <c r="K284">
        <v>58</v>
      </c>
      <c r="L284">
        <v>54.22</v>
      </c>
      <c r="M284">
        <v>0</v>
      </c>
      <c r="N284">
        <v>28.58</v>
      </c>
      <c r="O284">
        <v>1.5589999999999999</v>
      </c>
      <c r="P284">
        <v>0.254</v>
      </c>
      <c r="Q284">
        <v>66.989999999999995</v>
      </c>
      <c r="R284">
        <v>33.01</v>
      </c>
      <c r="S284">
        <v>66.989999999999995</v>
      </c>
      <c r="T284">
        <v>258.37</v>
      </c>
      <c r="U284">
        <v>0.71</v>
      </c>
      <c r="V284">
        <v>114.3</v>
      </c>
      <c r="W284">
        <v>214.3</v>
      </c>
      <c r="X284">
        <v>-5.9</v>
      </c>
    </row>
    <row r="285" spans="1:25" x14ac:dyDescent="0.25">
      <c r="A285" t="s">
        <v>57</v>
      </c>
      <c r="B285" t="s">
        <v>30</v>
      </c>
      <c r="C285" t="s">
        <v>31</v>
      </c>
      <c r="D285">
        <v>2024</v>
      </c>
      <c r="E285">
        <v>52886360</v>
      </c>
      <c r="G285">
        <v>89.14</v>
      </c>
      <c r="H285">
        <v>89.14</v>
      </c>
      <c r="I285">
        <v>3.43</v>
      </c>
      <c r="J285">
        <v>0.15</v>
      </c>
      <c r="K285">
        <v>54.68</v>
      </c>
      <c r="L285">
        <v>48.88</v>
      </c>
      <c r="M285">
        <v>0</v>
      </c>
      <c r="N285">
        <v>34.46</v>
      </c>
      <c r="O285">
        <v>3.8479999999999999</v>
      </c>
      <c r="P285">
        <v>0.16800000000000001</v>
      </c>
      <c r="Q285">
        <v>61.341999999999999</v>
      </c>
      <c r="R285">
        <v>38.658000000000001</v>
      </c>
      <c r="S285">
        <v>61.341999999999999</v>
      </c>
      <c r="T285">
        <v>298.3</v>
      </c>
      <c r="U285">
        <v>1.61</v>
      </c>
      <c r="V285">
        <v>154.1</v>
      </c>
      <c r="W285">
        <v>-31.8</v>
      </c>
      <c r="X285">
        <v>-5.7</v>
      </c>
    </row>
    <row r="286" spans="1:25" x14ac:dyDescent="0.25">
      <c r="A286" t="s">
        <v>57</v>
      </c>
      <c r="B286" t="s">
        <v>30</v>
      </c>
      <c r="C286" t="s">
        <v>31</v>
      </c>
      <c r="D286">
        <v>2025</v>
      </c>
      <c r="E286">
        <v>53425629</v>
      </c>
      <c r="G286">
        <v>90.36</v>
      </c>
      <c r="H286">
        <v>91.61</v>
      </c>
      <c r="I286">
        <v>4.5999999999999996</v>
      </c>
      <c r="J286">
        <v>0.15</v>
      </c>
      <c r="K286">
        <v>69.599999999999994</v>
      </c>
      <c r="L286">
        <v>62.5</v>
      </c>
      <c r="M286">
        <v>0</v>
      </c>
      <c r="N286">
        <v>20.76</v>
      </c>
      <c r="O286">
        <v>5.0910000000000002</v>
      </c>
      <c r="P286">
        <v>0.16600000000000001</v>
      </c>
      <c r="Q286">
        <v>77.025000000000006</v>
      </c>
      <c r="R286">
        <v>22.975000000000001</v>
      </c>
      <c r="S286">
        <v>77.025000000000006</v>
      </c>
      <c r="T286">
        <v>186.81</v>
      </c>
      <c r="U286">
        <v>2.14</v>
      </c>
      <c r="V286">
        <v>34.1</v>
      </c>
      <c r="W286">
        <v>0</v>
      </c>
      <c r="X286">
        <v>27.3</v>
      </c>
    </row>
    <row r="287" spans="1:25" x14ac:dyDescent="0.25">
      <c r="A287" t="s">
        <v>59</v>
      </c>
      <c r="B287" t="s">
        <v>38</v>
      </c>
      <c r="C287" t="s">
        <v>35</v>
      </c>
      <c r="D287">
        <v>2000</v>
      </c>
      <c r="E287">
        <v>10236809</v>
      </c>
      <c r="F287">
        <v>174309526192</v>
      </c>
      <c r="G287">
        <v>72.900000000000006</v>
      </c>
      <c r="H287">
        <v>62.88</v>
      </c>
      <c r="I287">
        <v>0</v>
      </c>
      <c r="J287">
        <v>0</v>
      </c>
      <c r="K287">
        <v>2.2799999999999998</v>
      </c>
      <c r="L287">
        <v>1.76</v>
      </c>
      <c r="M287">
        <v>13.59</v>
      </c>
      <c r="N287">
        <v>57.03</v>
      </c>
      <c r="O287">
        <v>0</v>
      </c>
      <c r="P287">
        <v>0</v>
      </c>
      <c r="Q287">
        <v>3.1280000000000001</v>
      </c>
      <c r="R287">
        <v>78.23</v>
      </c>
      <c r="S287">
        <v>21.77</v>
      </c>
      <c r="T287">
        <v>767.08</v>
      </c>
      <c r="U287">
        <v>0</v>
      </c>
    </row>
    <row r="288" spans="1:25" x14ac:dyDescent="0.25">
      <c r="A288" t="s">
        <v>59</v>
      </c>
      <c r="B288" t="s">
        <v>38</v>
      </c>
      <c r="C288" t="s">
        <v>35</v>
      </c>
      <c r="D288">
        <v>2001</v>
      </c>
      <c r="E288">
        <v>10231942</v>
      </c>
      <c r="F288">
        <v>181753179328</v>
      </c>
      <c r="G288">
        <v>74.22</v>
      </c>
      <c r="H288">
        <v>64.680000000000007</v>
      </c>
      <c r="I288">
        <v>0</v>
      </c>
      <c r="K288">
        <v>2.57</v>
      </c>
      <c r="L288">
        <v>2.0499999999999998</v>
      </c>
      <c r="M288">
        <v>14.75</v>
      </c>
      <c r="N288">
        <v>56.9</v>
      </c>
      <c r="O288">
        <v>0</v>
      </c>
      <c r="Q288">
        <v>3.4630000000000001</v>
      </c>
      <c r="R288">
        <v>76.664000000000001</v>
      </c>
      <c r="S288">
        <v>23.335999999999999</v>
      </c>
      <c r="T288">
        <v>751.82</v>
      </c>
      <c r="U288">
        <v>0</v>
      </c>
      <c r="X288">
        <v>12.7</v>
      </c>
    </row>
    <row r="289" spans="1:24" x14ac:dyDescent="0.25">
      <c r="A289" t="s">
        <v>59</v>
      </c>
      <c r="B289" t="s">
        <v>38</v>
      </c>
      <c r="C289" t="s">
        <v>35</v>
      </c>
      <c r="D289">
        <v>2002</v>
      </c>
      <c r="E289">
        <v>10239474</v>
      </c>
      <c r="F289">
        <v>187044887124</v>
      </c>
      <c r="G289">
        <v>76</v>
      </c>
      <c r="H289">
        <v>64.61</v>
      </c>
      <c r="I289">
        <v>0</v>
      </c>
      <c r="J289">
        <v>0</v>
      </c>
      <c r="K289">
        <v>2.99</v>
      </c>
      <c r="L289">
        <v>2.4900000000000002</v>
      </c>
      <c r="M289">
        <v>18.739999999999998</v>
      </c>
      <c r="N289">
        <v>54.27</v>
      </c>
      <c r="O289">
        <v>0</v>
      </c>
      <c r="P289">
        <v>0</v>
      </c>
      <c r="Q289">
        <v>3.9340000000000002</v>
      </c>
      <c r="R289">
        <v>71.408000000000001</v>
      </c>
      <c r="S289">
        <v>28.591999999999999</v>
      </c>
      <c r="T289">
        <v>699.34</v>
      </c>
      <c r="U289">
        <v>0</v>
      </c>
      <c r="X289">
        <v>16.3</v>
      </c>
    </row>
    <row r="290" spans="1:24" x14ac:dyDescent="0.25">
      <c r="A290" t="s">
        <v>59</v>
      </c>
      <c r="B290" t="s">
        <v>38</v>
      </c>
      <c r="C290" t="s">
        <v>35</v>
      </c>
      <c r="D290">
        <v>2003</v>
      </c>
      <c r="E290">
        <v>10248907</v>
      </c>
      <c r="F290">
        <v>196328003846</v>
      </c>
      <c r="G290">
        <v>82.79</v>
      </c>
      <c r="H290">
        <v>66.58</v>
      </c>
      <c r="I290">
        <v>0</v>
      </c>
      <c r="J290">
        <v>0</v>
      </c>
      <c r="K290">
        <v>1.87</v>
      </c>
      <c r="L290">
        <v>1.38</v>
      </c>
      <c r="M290">
        <v>25.87</v>
      </c>
      <c r="N290">
        <v>55.05</v>
      </c>
      <c r="O290">
        <v>0</v>
      </c>
      <c r="P290">
        <v>0</v>
      </c>
      <c r="Q290">
        <v>2.2589999999999999</v>
      </c>
      <c r="R290">
        <v>66.494</v>
      </c>
      <c r="S290">
        <v>33.506</v>
      </c>
      <c r="T290">
        <v>651.89</v>
      </c>
      <c r="U290">
        <v>0</v>
      </c>
      <c r="X290">
        <v>-37.5</v>
      </c>
    </row>
    <row r="291" spans="1:24" x14ac:dyDescent="0.25">
      <c r="A291" t="s">
        <v>59</v>
      </c>
      <c r="B291" t="s">
        <v>38</v>
      </c>
      <c r="C291" t="s">
        <v>35</v>
      </c>
      <c r="D291">
        <v>2004</v>
      </c>
      <c r="E291">
        <v>10261453</v>
      </c>
      <c r="F291">
        <v>208725903761</v>
      </c>
      <c r="G291">
        <v>83.79</v>
      </c>
      <c r="H291">
        <v>68.069999999999993</v>
      </c>
      <c r="I291">
        <v>0</v>
      </c>
      <c r="J291">
        <v>0.01</v>
      </c>
      <c r="K291">
        <v>2.74</v>
      </c>
      <c r="L291">
        <v>2.02</v>
      </c>
      <c r="M291">
        <v>26.33</v>
      </c>
      <c r="N291">
        <v>54.72</v>
      </c>
      <c r="O291">
        <v>0</v>
      </c>
      <c r="P291">
        <v>1.2E-2</v>
      </c>
      <c r="Q291">
        <v>3.27</v>
      </c>
      <c r="R291">
        <v>65.305999999999997</v>
      </c>
      <c r="S291">
        <v>34.694000000000003</v>
      </c>
      <c r="T291">
        <v>640.16999999999996</v>
      </c>
      <c r="U291">
        <v>0</v>
      </c>
      <c r="X291">
        <v>46.5</v>
      </c>
    </row>
    <row r="292" spans="1:24" x14ac:dyDescent="0.25">
      <c r="A292" t="s">
        <v>59</v>
      </c>
      <c r="B292" t="s">
        <v>38</v>
      </c>
      <c r="C292" t="s">
        <v>35</v>
      </c>
      <c r="D292">
        <v>2005</v>
      </c>
      <c r="E292">
        <v>10280155</v>
      </c>
      <c r="F292">
        <v>225302570264</v>
      </c>
      <c r="G292">
        <v>81.93</v>
      </c>
      <c r="H292">
        <v>69.3</v>
      </c>
      <c r="I292">
        <v>0</v>
      </c>
      <c r="J292">
        <v>0.02</v>
      </c>
      <c r="K292">
        <v>3.13</v>
      </c>
      <c r="L292">
        <v>2.38</v>
      </c>
      <c r="M292">
        <v>24.73</v>
      </c>
      <c r="N292">
        <v>54.07</v>
      </c>
      <c r="O292">
        <v>0</v>
      </c>
      <c r="P292">
        <v>2.4E-2</v>
      </c>
      <c r="Q292">
        <v>3.82</v>
      </c>
      <c r="R292">
        <v>65.995000000000005</v>
      </c>
      <c r="S292">
        <v>34.005000000000003</v>
      </c>
      <c r="T292">
        <v>646.65</v>
      </c>
      <c r="U292">
        <v>0.01</v>
      </c>
      <c r="W292">
        <v>100</v>
      </c>
      <c r="X292">
        <v>14.2</v>
      </c>
    </row>
    <row r="293" spans="1:24" x14ac:dyDescent="0.25">
      <c r="A293" t="s">
        <v>59</v>
      </c>
      <c r="B293" t="s">
        <v>38</v>
      </c>
      <c r="C293" t="s">
        <v>35</v>
      </c>
      <c r="D293">
        <v>2006</v>
      </c>
      <c r="E293">
        <v>10304592</v>
      </c>
      <c r="F293">
        <v>243991794814</v>
      </c>
      <c r="G293">
        <v>83.66</v>
      </c>
      <c r="H293">
        <v>71.03</v>
      </c>
      <c r="I293">
        <v>0</v>
      </c>
      <c r="J293">
        <v>0.05</v>
      </c>
      <c r="K293">
        <v>3.52</v>
      </c>
      <c r="L293">
        <v>2.5499999999999998</v>
      </c>
      <c r="M293">
        <v>26.05</v>
      </c>
      <c r="N293">
        <v>54.09</v>
      </c>
      <c r="O293">
        <v>0</v>
      </c>
      <c r="P293">
        <v>0.06</v>
      </c>
      <c r="Q293">
        <v>4.2080000000000002</v>
      </c>
      <c r="R293">
        <v>64.655000000000001</v>
      </c>
      <c r="S293">
        <v>35.344999999999999</v>
      </c>
      <c r="T293">
        <v>634.11</v>
      </c>
      <c r="U293">
        <v>0.02</v>
      </c>
      <c r="W293">
        <v>150</v>
      </c>
      <c r="X293">
        <v>12.5</v>
      </c>
    </row>
    <row r="294" spans="1:24" x14ac:dyDescent="0.25">
      <c r="A294" t="s">
        <v>59</v>
      </c>
      <c r="B294" t="s">
        <v>38</v>
      </c>
      <c r="C294" t="s">
        <v>35</v>
      </c>
      <c r="D294">
        <v>2007</v>
      </c>
      <c r="E294">
        <v>10337539</v>
      </c>
      <c r="F294">
        <v>260673045889</v>
      </c>
      <c r="G294">
        <v>87.77</v>
      </c>
      <c r="H294">
        <v>71.62</v>
      </c>
      <c r="I294">
        <v>0</v>
      </c>
      <c r="J294">
        <v>0.13</v>
      </c>
      <c r="K294">
        <v>3.42</v>
      </c>
      <c r="L294">
        <v>2.09</v>
      </c>
      <c r="M294">
        <v>26.17</v>
      </c>
      <c r="N294">
        <v>58.18</v>
      </c>
      <c r="O294">
        <v>0</v>
      </c>
      <c r="P294">
        <v>0.14799999999999999</v>
      </c>
      <c r="Q294">
        <v>3.8969999999999998</v>
      </c>
      <c r="R294">
        <v>66.287000000000006</v>
      </c>
      <c r="S294">
        <v>33.713000000000001</v>
      </c>
      <c r="T294">
        <v>652.27</v>
      </c>
      <c r="U294">
        <v>0.06</v>
      </c>
      <c r="W294">
        <v>160</v>
      </c>
      <c r="X294">
        <v>-2.8</v>
      </c>
    </row>
    <row r="295" spans="1:24" x14ac:dyDescent="0.25">
      <c r="A295" t="s">
        <v>59</v>
      </c>
      <c r="B295" t="s">
        <v>38</v>
      </c>
      <c r="C295" t="s">
        <v>35</v>
      </c>
      <c r="D295">
        <v>2008</v>
      </c>
      <c r="E295">
        <v>10378298</v>
      </c>
      <c r="F295">
        <v>271709547503</v>
      </c>
      <c r="G295">
        <v>83.28</v>
      </c>
      <c r="H295">
        <v>71.81</v>
      </c>
      <c r="I295">
        <v>0.01</v>
      </c>
      <c r="J295">
        <v>0.24</v>
      </c>
      <c r="K295">
        <v>3.72</v>
      </c>
      <c r="L295">
        <v>2.02</v>
      </c>
      <c r="M295">
        <v>26.55</v>
      </c>
      <c r="N295">
        <v>53.01</v>
      </c>
      <c r="O295">
        <v>1.2E-2</v>
      </c>
      <c r="P295">
        <v>0.28799999999999998</v>
      </c>
      <c r="Q295">
        <v>4.4669999999999996</v>
      </c>
      <c r="R295">
        <v>63.652999999999999</v>
      </c>
      <c r="S295">
        <v>36.347000000000001</v>
      </c>
      <c r="T295">
        <v>627.52</v>
      </c>
      <c r="U295">
        <v>0.11</v>
      </c>
      <c r="W295">
        <v>84.6</v>
      </c>
      <c r="X295">
        <v>8.8000000000000007</v>
      </c>
    </row>
    <row r="296" spans="1:24" x14ac:dyDescent="0.25">
      <c r="A296" t="s">
        <v>59</v>
      </c>
      <c r="B296" t="s">
        <v>38</v>
      </c>
      <c r="C296" t="s">
        <v>35</v>
      </c>
      <c r="D296">
        <v>2009</v>
      </c>
      <c r="E296">
        <v>10420985</v>
      </c>
      <c r="F296">
        <v>261919697582</v>
      </c>
      <c r="G296">
        <v>81.64</v>
      </c>
      <c r="H296">
        <v>68</v>
      </c>
      <c r="I296">
        <v>0.09</v>
      </c>
      <c r="J296">
        <v>0.28999999999999998</v>
      </c>
      <c r="K296">
        <v>4.66</v>
      </c>
      <c r="L296">
        <v>2.4300000000000002</v>
      </c>
      <c r="M296">
        <v>27.21</v>
      </c>
      <c r="N296">
        <v>49.77</v>
      </c>
      <c r="O296">
        <v>0.11</v>
      </c>
      <c r="P296">
        <v>0.35499999999999998</v>
      </c>
      <c r="Q296">
        <v>5.7080000000000002</v>
      </c>
      <c r="R296">
        <v>60.963000000000001</v>
      </c>
      <c r="S296">
        <v>39.036999999999999</v>
      </c>
      <c r="T296">
        <v>603.14</v>
      </c>
      <c r="U296">
        <v>0.17</v>
      </c>
      <c r="V296">
        <v>800</v>
      </c>
      <c r="W296">
        <v>20.8</v>
      </c>
      <c r="X296">
        <v>25.3</v>
      </c>
    </row>
    <row r="297" spans="1:24" x14ac:dyDescent="0.25">
      <c r="A297" t="s">
        <v>59</v>
      </c>
      <c r="B297" t="s">
        <v>38</v>
      </c>
      <c r="C297" t="s">
        <v>35</v>
      </c>
      <c r="D297">
        <v>2010</v>
      </c>
      <c r="E297">
        <v>10464035</v>
      </c>
      <c r="F297">
        <v>271231988282</v>
      </c>
      <c r="G297">
        <v>85.22</v>
      </c>
      <c r="H297">
        <v>70.27</v>
      </c>
      <c r="I297">
        <v>0.62</v>
      </c>
      <c r="J297">
        <v>0.34</v>
      </c>
      <c r="K297">
        <v>5.91</v>
      </c>
      <c r="L297">
        <v>2.79</v>
      </c>
      <c r="M297">
        <v>28</v>
      </c>
      <c r="N297">
        <v>51.31</v>
      </c>
      <c r="O297">
        <v>0.72799999999999998</v>
      </c>
      <c r="P297">
        <v>0.39900000000000002</v>
      </c>
      <c r="Q297">
        <v>6.9349999999999996</v>
      </c>
      <c r="R297">
        <v>60.209000000000003</v>
      </c>
      <c r="S297">
        <v>39.790999999999997</v>
      </c>
      <c r="T297">
        <v>593.64</v>
      </c>
      <c r="U297">
        <v>0.43</v>
      </c>
      <c r="V297">
        <v>588.9</v>
      </c>
      <c r="W297">
        <v>17.2</v>
      </c>
      <c r="X297">
        <v>26.8</v>
      </c>
    </row>
    <row r="298" spans="1:24" x14ac:dyDescent="0.25">
      <c r="A298" t="s">
        <v>59</v>
      </c>
      <c r="B298" t="s">
        <v>38</v>
      </c>
      <c r="C298" t="s">
        <v>35</v>
      </c>
      <c r="D298">
        <v>2011</v>
      </c>
      <c r="E298">
        <v>10495508</v>
      </c>
      <c r="F298">
        <v>279082754736</v>
      </c>
      <c r="G298">
        <v>86.64</v>
      </c>
      <c r="H298">
        <v>69.599999999999994</v>
      </c>
      <c r="I298">
        <v>2.1800000000000002</v>
      </c>
      <c r="J298">
        <v>0.4</v>
      </c>
      <c r="K298">
        <v>7.24</v>
      </c>
      <c r="L298">
        <v>1.96</v>
      </c>
      <c r="M298">
        <v>28.28</v>
      </c>
      <c r="N298">
        <v>51.12</v>
      </c>
      <c r="O298">
        <v>2.516</v>
      </c>
      <c r="P298">
        <v>0.46200000000000002</v>
      </c>
      <c r="Q298">
        <v>8.3559999999999999</v>
      </c>
      <c r="R298">
        <v>59.003</v>
      </c>
      <c r="S298">
        <v>40.997</v>
      </c>
      <c r="T298">
        <v>583.55999999999995</v>
      </c>
      <c r="U298">
        <v>1.1599999999999999</v>
      </c>
      <c r="V298">
        <v>251.6</v>
      </c>
      <c r="W298">
        <v>17.600000000000001</v>
      </c>
      <c r="X298">
        <v>22.5</v>
      </c>
    </row>
    <row r="299" spans="1:24" x14ac:dyDescent="0.25">
      <c r="A299" t="s">
        <v>59</v>
      </c>
      <c r="B299" t="s">
        <v>38</v>
      </c>
      <c r="C299" t="s">
        <v>35</v>
      </c>
      <c r="D299">
        <v>2012</v>
      </c>
      <c r="E299">
        <v>10507339</v>
      </c>
      <c r="F299">
        <v>276891945353</v>
      </c>
      <c r="G299">
        <v>86.58</v>
      </c>
      <c r="H299">
        <v>69.459999999999994</v>
      </c>
      <c r="I299">
        <v>2.15</v>
      </c>
      <c r="J299">
        <v>0.42</v>
      </c>
      <c r="K299">
        <v>8.07</v>
      </c>
      <c r="L299">
        <v>2.13</v>
      </c>
      <c r="M299">
        <v>30.32</v>
      </c>
      <c r="N299">
        <v>48.19</v>
      </c>
      <c r="O299">
        <v>2.4830000000000001</v>
      </c>
      <c r="P299">
        <v>0.48499999999999999</v>
      </c>
      <c r="Q299">
        <v>9.3209999999999997</v>
      </c>
      <c r="R299">
        <v>55.66</v>
      </c>
      <c r="S299">
        <v>44.34</v>
      </c>
      <c r="T299">
        <v>552.78</v>
      </c>
      <c r="U299">
        <v>1.1599999999999999</v>
      </c>
      <c r="V299">
        <v>-1.4</v>
      </c>
      <c r="W299">
        <v>5</v>
      </c>
      <c r="X299">
        <v>11.5</v>
      </c>
    </row>
    <row r="300" spans="1:24" x14ac:dyDescent="0.25">
      <c r="A300" t="s">
        <v>59</v>
      </c>
      <c r="B300" t="s">
        <v>38</v>
      </c>
      <c r="C300" t="s">
        <v>35</v>
      </c>
      <c r="D300">
        <v>2013</v>
      </c>
      <c r="E300">
        <v>10511164</v>
      </c>
      <c r="F300">
        <v>276764861619</v>
      </c>
      <c r="G300">
        <v>85.91</v>
      </c>
      <c r="H300">
        <v>69.02</v>
      </c>
      <c r="I300">
        <v>2.0299999999999998</v>
      </c>
      <c r="J300">
        <v>0.48</v>
      </c>
      <c r="K300">
        <v>9.3000000000000007</v>
      </c>
      <c r="L300">
        <v>2.73</v>
      </c>
      <c r="M300">
        <v>30.75</v>
      </c>
      <c r="N300">
        <v>45.86</v>
      </c>
      <c r="O300">
        <v>2.363</v>
      </c>
      <c r="P300">
        <v>0.55900000000000005</v>
      </c>
      <c r="Q300">
        <v>10.824999999999999</v>
      </c>
      <c r="R300">
        <v>53.381</v>
      </c>
      <c r="S300">
        <v>46.619</v>
      </c>
      <c r="T300">
        <v>527.53</v>
      </c>
      <c r="U300">
        <v>1.1299999999999999</v>
      </c>
      <c r="V300">
        <v>-5.6</v>
      </c>
      <c r="W300">
        <v>14.3</v>
      </c>
      <c r="X300">
        <v>15.2</v>
      </c>
    </row>
    <row r="301" spans="1:24" x14ac:dyDescent="0.25">
      <c r="A301" t="s">
        <v>59</v>
      </c>
      <c r="B301" t="s">
        <v>38</v>
      </c>
      <c r="C301" t="s">
        <v>35</v>
      </c>
      <c r="D301">
        <v>2014</v>
      </c>
      <c r="E301">
        <v>10517223</v>
      </c>
      <c r="F301">
        <v>283025537919</v>
      </c>
      <c r="G301">
        <v>84.98</v>
      </c>
      <c r="H301">
        <v>68.680000000000007</v>
      </c>
      <c r="I301">
        <v>2.12</v>
      </c>
      <c r="J301">
        <v>0.48</v>
      </c>
      <c r="K301">
        <v>9.17</v>
      </c>
      <c r="L301">
        <v>1.91</v>
      </c>
      <c r="M301">
        <v>30.33</v>
      </c>
      <c r="N301">
        <v>45.48</v>
      </c>
      <c r="O301">
        <v>2.4950000000000001</v>
      </c>
      <c r="P301">
        <v>0.56499999999999995</v>
      </c>
      <c r="Q301">
        <v>10.791</v>
      </c>
      <c r="R301">
        <v>53.518000000000001</v>
      </c>
      <c r="S301">
        <v>46.481999999999999</v>
      </c>
      <c r="T301">
        <v>530.83000000000004</v>
      </c>
      <c r="U301">
        <v>1.17</v>
      </c>
      <c r="V301">
        <v>4.4000000000000004</v>
      </c>
      <c r="W301">
        <v>0</v>
      </c>
      <c r="X301">
        <v>-1.4</v>
      </c>
    </row>
    <row r="302" spans="1:24" x14ac:dyDescent="0.25">
      <c r="A302" t="s">
        <v>59</v>
      </c>
      <c r="B302" t="s">
        <v>38</v>
      </c>
      <c r="C302" t="s">
        <v>35</v>
      </c>
      <c r="D302">
        <v>2015</v>
      </c>
      <c r="E302">
        <v>10524418</v>
      </c>
      <c r="F302">
        <v>298276052489</v>
      </c>
      <c r="G302">
        <v>82.49</v>
      </c>
      <c r="H302">
        <v>69.98</v>
      </c>
      <c r="I302">
        <v>2.2599999999999998</v>
      </c>
      <c r="J302">
        <v>0.56999999999999995</v>
      </c>
      <c r="K302">
        <v>9.41</v>
      </c>
      <c r="L302">
        <v>1.79</v>
      </c>
      <c r="M302">
        <v>26.84</v>
      </c>
      <c r="N302">
        <v>46.24</v>
      </c>
      <c r="O302">
        <v>2.74</v>
      </c>
      <c r="P302">
        <v>0.69099999999999995</v>
      </c>
      <c r="Q302">
        <v>11.407</v>
      </c>
      <c r="R302">
        <v>56.055</v>
      </c>
      <c r="S302">
        <v>43.945</v>
      </c>
      <c r="T302">
        <v>553.16</v>
      </c>
      <c r="U302">
        <v>1.27</v>
      </c>
      <c r="V302">
        <v>6.6</v>
      </c>
      <c r="W302">
        <v>18.8</v>
      </c>
      <c r="X302">
        <v>2.6</v>
      </c>
    </row>
    <row r="303" spans="1:24" x14ac:dyDescent="0.25">
      <c r="A303" t="s">
        <v>59</v>
      </c>
      <c r="B303" t="s">
        <v>38</v>
      </c>
      <c r="C303" t="s">
        <v>35</v>
      </c>
      <c r="D303">
        <v>2016</v>
      </c>
      <c r="E303">
        <v>10531946</v>
      </c>
      <c r="F303">
        <v>305844147713</v>
      </c>
      <c r="G303">
        <v>82</v>
      </c>
      <c r="H303">
        <v>71.03</v>
      </c>
      <c r="I303">
        <v>2.13</v>
      </c>
      <c r="J303">
        <v>0.5</v>
      </c>
      <c r="K303">
        <v>9.39</v>
      </c>
      <c r="L303">
        <v>2</v>
      </c>
      <c r="M303">
        <v>24.1</v>
      </c>
      <c r="N303">
        <v>48.51</v>
      </c>
      <c r="O303">
        <v>2.5979999999999999</v>
      </c>
      <c r="P303">
        <v>0.61</v>
      </c>
      <c r="Q303">
        <v>11.451000000000001</v>
      </c>
      <c r="R303">
        <v>59.158999999999999</v>
      </c>
      <c r="S303">
        <v>40.841000000000001</v>
      </c>
      <c r="T303">
        <v>573.9</v>
      </c>
      <c r="U303">
        <v>1.18</v>
      </c>
      <c r="V303">
        <v>-5.8</v>
      </c>
      <c r="W303">
        <v>-12.3</v>
      </c>
      <c r="X303">
        <v>-0.2</v>
      </c>
    </row>
    <row r="304" spans="1:24" x14ac:dyDescent="0.25">
      <c r="A304" t="s">
        <v>59</v>
      </c>
      <c r="B304" t="s">
        <v>38</v>
      </c>
      <c r="C304" t="s">
        <v>35</v>
      </c>
      <c r="D304">
        <v>2017</v>
      </c>
      <c r="E304">
        <v>10541343</v>
      </c>
      <c r="F304">
        <v>321652381589</v>
      </c>
      <c r="G304">
        <v>85.76</v>
      </c>
      <c r="H304">
        <v>72.72</v>
      </c>
      <c r="I304">
        <v>2.2000000000000002</v>
      </c>
      <c r="J304">
        <v>0.59</v>
      </c>
      <c r="K304">
        <v>9.6300000000000008</v>
      </c>
      <c r="L304">
        <v>1.87</v>
      </c>
      <c r="M304">
        <v>28.34</v>
      </c>
      <c r="N304">
        <v>47.79</v>
      </c>
      <c r="O304">
        <v>2.5649999999999999</v>
      </c>
      <c r="P304">
        <v>0.68799999999999994</v>
      </c>
      <c r="Q304">
        <v>11.228999999999999</v>
      </c>
      <c r="R304">
        <v>55.725000000000001</v>
      </c>
      <c r="S304">
        <v>44.274999999999999</v>
      </c>
      <c r="T304">
        <v>542.33000000000004</v>
      </c>
      <c r="U304">
        <v>1.26</v>
      </c>
      <c r="V304">
        <v>3.3</v>
      </c>
      <c r="W304">
        <v>18</v>
      </c>
      <c r="X304">
        <v>2.6</v>
      </c>
    </row>
    <row r="305" spans="1:25" x14ac:dyDescent="0.25">
      <c r="A305" t="s">
        <v>59</v>
      </c>
      <c r="B305" t="s">
        <v>38</v>
      </c>
      <c r="C305" t="s">
        <v>35</v>
      </c>
      <c r="D305">
        <v>2018</v>
      </c>
      <c r="E305">
        <v>10548934</v>
      </c>
      <c r="F305">
        <v>332009886797</v>
      </c>
      <c r="G305">
        <v>86.84</v>
      </c>
      <c r="H305">
        <v>72.930000000000007</v>
      </c>
      <c r="I305">
        <v>2.36</v>
      </c>
      <c r="J305">
        <v>0.61</v>
      </c>
      <c r="K305">
        <v>9.43</v>
      </c>
      <c r="L305">
        <v>1.63</v>
      </c>
      <c r="M305">
        <v>29.92</v>
      </c>
      <c r="N305">
        <v>47.49</v>
      </c>
      <c r="O305">
        <v>2.718</v>
      </c>
      <c r="P305">
        <v>0.70199999999999996</v>
      </c>
      <c r="Q305">
        <v>10.859</v>
      </c>
      <c r="R305">
        <v>54.686999999999998</v>
      </c>
      <c r="S305">
        <v>45.313000000000002</v>
      </c>
      <c r="T305">
        <v>532.59</v>
      </c>
      <c r="U305">
        <v>1.34</v>
      </c>
      <c r="V305">
        <v>7.3</v>
      </c>
      <c r="W305">
        <v>3.4</v>
      </c>
      <c r="X305">
        <v>-2.1</v>
      </c>
    </row>
    <row r="306" spans="1:25" x14ac:dyDescent="0.25">
      <c r="A306" t="s">
        <v>59</v>
      </c>
      <c r="B306" t="s">
        <v>38</v>
      </c>
      <c r="C306" t="s">
        <v>35</v>
      </c>
      <c r="D306">
        <v>2019</v>
      </c>
      <c r="E306">
        <v>10554872</v>
      </c>
      <c r="F306">
        <v>342069373423</v>
      </c>
      <c r="G306">
        <v>85.72</v>
      </c>
      <c r="H306">
        <v>72.62</v>
      </c>
      <c r="I306">
        <v>2.3199999999999998</v>
      </c>
      <c r="J306">
        <v>0.7</v>
      </c>
      <c r="K306">
        <v>10.06</v>
      </c>
      <c r="L306">
        <v>2.0099999999999998</v>
      </c>
      <c r="M306">
        <v>30.25</v>
      </c>
      <c r="N306">
        <v>45.41</v>
      </c>
      <c r="O306">
        <v>2.706</v>
      </c>
      <c r="P306">
        <v>0.81699999999999995</v>
      </c>
      <c r="Q306">
        <v>11.736000000000001</v>
      </c>
      <c r="R306">
        <v>52.975000000000001</v>
      </c>
      <c r="S306">
        <v>47.024999999999999</v>
      </c>
      <c r="T306">
        <v>503.5</v>
      </c>
      <c r="U306">
        <v>1.36</v>
      </c>
      <c r="V306">
        <v>-1.7</v>
      </c>
      <c r="W306">
        <v>14.8</v>
      </c>
      <c r="X306">
        <v>6.7</v>
      </c>
    </row>
    <row r="307" spans="1:25" x14ac:dyDescent="0.25">
      <c r="A307" t="s">
        <v>59</v>
      </c>
      <c r="B307" t="s">
        <v>38</v>
      </c>
      <c r="C307" t="s">
        <v>35</v>
      </c>
      <c r="D307">
        <v>2020</v>
      </c>
      <c r="E307">
        <v>10550129</v>
      </c>
      <c r="F307">
        <v>323245433506</v>
      </c>
      <c r="G307">
        <v>80.099999999999994</v>
      </c>
      <c r="H307">
        <v>69.95</v>
      </c>
      <c r="I307">
        <v>2.29</v>
      </c>
      <c r="J307">
        <v>0.7</v>
      </c>
      <c r="K307">
        <v>10.34</v>
      </c>
      <c r="L307">
        <v>2.14</v>
      </c>
      <c r="M307">
        <v>30.04</v>
      </c>
      <c r="N307">
        <v>39.72</v>
      </c>
      <c r="O307">
        <v>2.859</v>
      </c>
      <c r="P307">
        <v>0.874</v>
      </c>
      <c r="Q307">
        <v>12.909000000000001</v>
      </c>
      <c r="R307">
        <v>49.588000000000001</v>
      </c>
      <c r="S307">
        <v>50.411999999999999</v>
      </c>
      <c r="T307">
        <v>460.18</v>
      </c>
      <c r="U307">
        <v>1.35</v>
      </c>
      <c r="V307">
        <v>-1.3</v>
      </c>
      <c r="W307">
        <v>0</v>
      </c>
      <c r="X307">
        <v>2.8</v>
      </c>
      <c r="Y307" t="s">
        <v>60</v>
      </c>
    </row>
    <row r="308" spans="1:25" x14ac:dyDescent="0.25">
      <c r="A308" t="s">
        <v>59</v>
      </c>
      <c r="B308" t="s">
        <v>38</v>
      </c>
      <c r="C308" t="s">
        <v>35</v>
      </c>
      <c r="D308">
        <v>2021</v>
      </c>
      <c r="E308">
        <v>10530683</v>
      </c>
      <c r="F308">
        <v>334729441747</v>
      </c>
      <c r="G308">
        <v>83.66</v>
      </c>
      <c r="H308">
        <v>72.58</v>
      </c>
      <c r="I308">
        <v>2.25</v>
      </c>
      <c r="J308">
        <v>0.6</v>
      </c>
      <c r="K308">
        <v>10.64</v>
      </c>
      <c r="L308">
        <v>2.41</v>
      </c>
      <c r="M308">
        <v>30.73</v>
      </c>
      <c r="N308">
        <v>42.29</v>
      </c>
      <c r="O308">
        <v>2.6890000000000001</v>
      </c>
      <c r="P308">
        <v>0.71699999999999997</v>
      </c>
      <c r="Q308">
        <v>12.718</v>
      </c>
      <c r="R308">
        <v>50.55</v>
      </c>
      <c r="S308">
        <v>49.45</v>
      </c>
      <c r="T308">
        <v>471.79</v>
      </c>
      <c r="U308">
        <v>1.28</v>
      </c>
      <c r="V308">
        <v>-1.7</v>
      </c>
      <c r="W308">
        <v>-14.3</v>
      </c>
      <c r="X308">
        <v>2.9</v>
      </c>
    </row>
    <row r="309" spans="1:25" x14ac:dyDescent="0.25">
      <c r="A309" t="s">
        <v>59</v>
      </c>
      <c r="B309" t="s">
        <v>38</v>
      </c>
      <c r="C309" t="s">
        <v>35</v>
      </c>
      <c r="D309">
        <v>2022</v>
      </c>
      <c r="E309">
        <v>10673216</v>
      </c>
      <c r="F309">
        <v>342966849621</v>
      </c>
      <c r="G309">
        <v>83.73</v>
      </c>
      <c r="H309">
        <v>70.2</v>
      </c>
      <c r="I309">
        <v>2.63</v>
      </c>
      <c r="J309">
        <v>0.64</v>
      </c>
      <c r="K309">
        <v>10.77</v>
      </c>
      <c r="L309">
        <v>2.09</v>
      </c>
      <c r="M309">
        <v>31.02</v>
      </c>
      <c r="N309">
        <v>41.94</v>
      </c>
      <c r="O309">
        <v>3.141</v>
      </c>
      <c r="P309">
        <v>0.76400000000000001</v>
      </c>
      <c r="Q309">
        <v>12.863</v>
      </c>
      <c r="R309">
        <v>50.09</v>
      </c>
      <c r="S309">
        <v>49.91</v>
      </c>
      <c r="T309">
        <v>488.36</v>
      </c>
      <c r="U309">
        <v>1.47</v>
      </c>
      <c r="V309">
        <v>16.899999999999999</v>
      </c>
      <c r="W309">
        <v>6.7</v>
      </c>
      <c r="X309">
        <v>1.2</v>
      </c>
    </row>
    <row r="310" spans="1:25" x14ac:dyDescent="0.25">
      <c r="A310" t="s">
        <v>59</v>
      </c>
      <c r="B310" t="s">
        <v>38</v>
      </c>
      <c r="C310" t="s">
        <v>35</v>
      </c>
      <c r="D310">
        <v>2023</v>
      </c>
      <c r="E310">
        <v>10809722</v>
      </c>
      <c r="G310">
        <v>75.8</v>
      </c>
      <c r="H310">
        <v>66.62</v>
      </c>
      <c r="I310">
        <v>2.89</v>
      </c>
      <c r="J310">
        <v>0.7</v>
      </c>
      <c r="K310">
        <v>11.14</v>
      </c>
      <c r="L310">
        <v>2.36</v>
      </c>
      <c r="M310">
        <v>30.41</v>
      </c>
      <c r="N310">
        <v>34.25</v>
      </c>
      <c r="O310">
        <v>3.8130000000000002</v>
      </c>
      <c r="P310">
        <v>0.92300000000000004</v>
      </c>
      <c r="Q310">
        <v>14.696999999999999</v>
      </c>
      <c r="R310">
        <v>45.185000000000002</v>
      </c>
      <c r="S310">
        <v>54.814999999999998</v>
      </c>
      <c r="T310">
        <v>442.61</v>
      </c>
      <c r="U310">
        <v>1.62</v>
      </c>
      <c r="V310">
        <v>9.9</v>
      </c>
      <c r="W310">
        <v>9.4</v>
      </c>
      <c r="X310">
        <v>3.4</v>
      </c>
    </row>
    <row r="311" spans="1:25" x14ac:dyDescent="0.25">
      <c r="A311" t="s">
        <v>59</v>
      </c>
      <c r="B311" t="s">
        <v>38</v>
      </c>
      <c r="C311" t="s">
        <v>35</v>
      </c>
      <c r="D311">
        <v>2024</v>
      </c>
      <c r="E311">
        <v>10735857</v>
      </c>
      <c r="G311">
        <v>72.81</v>
      </c>
      <c r="H311">
        <v>66.150000000000006</v>
      </c>
      <c r="I311">
        <v>3.59</v>
      </c>
      <c r="J311">
        <v>0.67</v>
      </c>
      <c r="K311">
        <v>12.3</v>
      </c>
      <c r="L311">
        <v>2.66</v>
      </c>
      <c r="M311">
        <v>29.7</v>
      </c>
      <c r="N311">
        <v>30.81</v>
      </c>
      <c r="O311">
        <v>4.931</v>
      </c>
      <c r="P311">
        <v>0.92</v>
      </c>
      <c r="Q311">
        <v>16.893000000000001</v>
      </c>
      <c r="R311">
        <v>42.316000000000003</v>
      </c>
      <c r="S311">
        <v>57.683999999999997</v>
      </c>
      <c r="T311">
        <v>414.23</v>
      </c>
      <c r="U311">
        <v>1.92</v>
      </c>
      <c r="V311">
        <v>24.2</v>
      </c>
      <c r="W311">
        <v>-4.3</v>
      </c>
      <c r="X311">
        <v>10.4</v>
      </c>
    </row>
    <row r="312" spans="1:25" x14ac:dyDescent="0.25">
      <c r="A312" t="s">
        <v>59</v>
      </c>
      <c r="B312" t="s">
        <v>38</v>
      </c>
      <c r="C312" t="s">
        <v>35</v>
      </c>
      <c r="D312">
        <v>2025</v>
      </c>
      <c r="E312">
        <v>10609241</v>
      </c>
      <c r="G312">
        <v>75.5</v>
      </c>
      <c r="H312">
        <v>68.040000000000006</v>
      </c>
      <c r="I312">
        <v>4.3899999999999997</v>
      </c>
      <c r="J312">
        <v>0.56999999999999995</v>
      </c>
      <c r="K312">
        <v>12.72</v>
      </c>
      <c r="L312">
        <v>1.71</v>
      </c>
      <c r="M312">
        <v>31.94</v>
      </c>
      <c r="N312">
        <v>30.84</v>
      </c>
      <c r="O312">
        <v>5.8150000000000004</v>
      </c>
      <c r="P312">
        <v>0.755</v>
      </c>
      <c r="Q312">
        <v>16.847999999999999</v>
      </c>
      <c r="R312">
        <v>40.847999999999999</v>
      </c>
      <c r="S312">
        <v>59.152000000000001</v>
      </c>
      <c r="T312">
        <v>401.46</v>
      </c>
      <c r="U312">
        <v>2.23</v>
      </c>
      <c r="V312">
        <v>22.3</v>
      </c>
      <c r="W312">
        <v>-14.9</v>
      </c>
      <c r="X312">
        <v>3.4</v>
      </c>
    </row>
    <row r="313" spans="1:25" x14ac:dyDescent="0.25">
      <c r="A313" t="s">
        <v>61</v>
      </c>
      <c r="B313" t="s">
        <v>26</v>
      </c>
      <c r="C313" t="s">
        <v>27</v>
      </c>
      <c r="D313">
        <v>2000</v>
      </c>
      <c r="E313">
        <v>73083287</v>
      </c>
      <c r="F313">
        <v>444250275939</v>
      </c>
      <c r="G313">
        <v>73.319999999999993</v>
      </c>
      <c r="H313">
        <v>73.17</v>
      </c>
      <c r="I313">
        <v>0</v>
      </c>
      <c r="J313">
        <v>0.08</v>
      </c>
      <c r="K313">
        <v>14.26</v>
      </c>
      <c r="L313">
        <v>14.18</v>
      </c>
      <c r="M313">
        <v>0</v>
      </c>
      <c r="N313">
        <v>59.06</v>
      </c>
      <c r="O313">
        <v>0</v>
      </c>
      <c r="P313">
        <v>0.109</v>
      </c>
      <c r="Q313">
        <v>19.449000000000002</v>
      </c>
      <c r="R313">
        <v>80.551000000000002</v>
      </c>
      <c r="S313">
        <v>19.449000000000002</v>
      </c>
      <c r="T313">
        <v>525.64</v>
      </c>
      <c r="U313">
        <v>0.04</v>
      </c>
    </row>
    <row r="314" spans="1:25" x14ac:dyDescent="0.25">
      <c r="A314" t="s">
        <v>61</v>
      </c>
      <c r="B314" t="s">
        <v>26</v>
      </c>
      <c r="C314" t="s">
        <v>27</v>
      </c>
      <c r="D314">
        <v>2001</v>
      </c>
      <c r="E314">
        <v>74652035</v>
      </c>
      <c r="F314">
        <v>475679003242</v>
      </c>
      <c r="G314">
        <v>80.709999999999994</v>
      </c>
      <c r="H314">
        <v>80.5</v>
      </c>
      <c r="I314">
        <v>0</v>
      </c>
      <c r="J314">
        <v>0.18</v>
      </c>
      <c r="K314">
        <v>14.59</v>
      </c>
      <c r="L314">
        <v>14.41</v>
      </c>
      <c r="M314">
        <v>0</v>
      </c>
      <c r="N314">
        <v>66.12</v>
      </c>
      <c r="O314">
        <v>0</v>
      </c>
      <c r="P314">
        <v>0.223</v>
      </c>
      <c r="Q314">
        <v>18.077000000000002</v>
      </c>
      <c r="R314">
        <v>81.923000000000002</v>
      </c>
      <c r="S314">
        <v>18.077000000000002</v>
      </c>
      <c r="T314">
        <v>533.76</v>
      </c>
      <c r="U314">
        <v>0.08</v>
      </c>
      <c r="W314">
        <v>125</v>
      </c>
      <c r="X314">
        <v>2.2999999999999998</v>
      </c>
    </row>
    <row r="315" spans="1:25" x14ac:dyDescent="0.25">
      <c r="A315" t="s">
        <v>61</v>
      </c>
      <c r="B315" t="s">
        <v>26</v>
      </c>
      <c r="C315" t="s">
        <v>27</v>
      </c>
      <c r="D315">
        <v>2002</v>
      </c>
      <c r="E315">
        <v>76239140</v>
      </c>
      <c r="F315">
        <v>501912285229</v>
      </c>
      <c r="G315">
        <v>86.23</v>
      </c>
      <c r="H315">
        <v>85.45</v>
      </c>
      <c r="I315">
        <v>0</v>
      </c>
      <c r="J315">
        <v>0.21</v>
      </c>
      <c r="K315">
        <v>14.2</v>
      </c>
      <c r="L315">
        <v>13.99</v>
      </c>
      <c r="M315">
        <v>0</v>
      </c>
      <c r="N315">
        <v>72.03</v>
      </c>
      <c r="O315">
        <v>0</v>
      </c>
      <c r="P315">
        <v>0.24399999999999999</v>
      </c>
      <c r="Q315">
        <v>16.468</v>
      </c>
      <c r="R315">
        <v>83.531999999999996</v>
      </c>
      <c r="S315">
        <v>16.468</v>
      </c>
      <c r="T315">
        <v>542.97</v>
      </c>
      <c r="U315">
        <v>0.09</v>
      </c>
      <c r="W315">
        <v>16.7</v>
      </c>
      <c r="X315">
        <v>-2.7</v>
      </c>
    </row>
    <row r="316" spans="1:25" x14ac:dyDescent="0.25">
      <c r="A316" t="s">
        <v>61</v>
      </c>
      <c r="B316" t="s">
        <v>26</v>
      </c>
      <c r="C316" t="s">
        <v>27</v>
      </c>
      <c r="D316">
        <v>2003</v>
      </c>
      <c r="E316">
        <v>77853548</v>
      </c>
      <c r="F316">
        <v>528750466385</v>
      </c>
      <c r="G316">
        <v>92.19</v>
      </c>
      <c r="H316">
        <v>91.27</v>
      </c>
      <c r="I316">
        <v>0</v>
      </c>
      <c r="J316">
        <v>0.28999999999999998</v>
      </c>
      <c r="K316">
        <v>13.23</v>
      </c>
      <c r="L316">
        <v>12.94</v>
      </c>
      <c r="M316">
        <v>0</v>
      </c>
      <c r="N316">
        <v>78.959999999999994</v>
      </c>
      <c r="O316">
        <v>0</v>
      </c>
      <c r="P316">
        <v>0.315</v>
      </c>
      <c r="Q316">
        <v>14.351000000000001</v>
      </c>
      <c r="R316">
        <v>85.649000000000001</v>
      </c>
      <c r="S316">
        <v>14.351000000000001</v>
      </c>
      <c r="T316">
        <v>556.03</v>
      </c>
      <c r="U316">
        <v>0.13</v>
      </c>
      <c r="W316">
        <v>38.1</v>
      </c>
      <c r="X316">
        <v>-6.8</v>
      </c>
    </row>
    <row r="317" spans="1:25" x14ac:dyDescent="0.25">
      <c r="A317" t="s">
        <v>61</v>
      </c>
      <c r="B317" t="s">
        <v>26</v>
      </c>
      <c r="C317" t="s">
        <v>27</v>
      </c>
      <c r="D317">
        <v>2004</v>
      </c>
      <c r="E317">
        <v>79477441</v>
      </c>
      <c r="F317">
        <v>561597926809</v>
      </c>
      <c r="G317">
        <v>98.25</v>
      </c>
      <c r="H317">
        <v>97.55</v>
      </c>
      <c r="I317">
        <v>0</v>
      </c>
      <c r="J317">
        <v>0.5</v>
      </c>
      <c r="K317">
        <v>13.33</v>
      </c>
      <c r="L317">
        <v>12.83</v>
      </c>
      <c r="M317">
        <v>0</v>
      </c>
      <c r="N317">
        <v>84.92</v>
      </c>
      <c r="O317">
        <v>0</v>
      </c>
      <c r="P317">
        <v>0.50900000000000001</v>
      </c>
      <c r="Q317">
        <v>13.567</v>
      </c>
      <c r="R317">
        <v>86.433000000000007</v>
      </c>
      <c r="S317">
        <v>13.567</v>
      </c>
      <c r="T317">
        <v>559.9</v>
      </c>
      <c r="U317">
        <v>0.22</v>
      </c>
      <c r="W317">
        <v>72.400000000000006</v>
      </c>
      <c r="X317">
        <v>0.8</v>
      </c>
    </row>
    <row r="318" spans="1:25" x14ac:dyDescent="0.25">
      <c r="A318" t="s">
        <v>61</v>
      </c>
      <c r="B318" t="s">
        <v>26</v>
      </c>
      <c r="C318" t="s">
        <v>27</v>
      </c>
      <c r="D318">
        <v>2005</v>
      </c>
      <c r="E318">
        <v>81101012</v>
      </c>
      <c r="F318">
        <v>600297394092</v>
      </c>
      <c r="G318">
        <v>104.94</v>
      </c>
      <c r="H318">
        <v>104.16</v>
      </c>
      <c r="I318">
        <v>0</v>
      </c>
      <c r="J318">
        <v>0.51</v>
      </c>
      <c r="K318">
        <v>13.15</v>
      </c>
      <c r="L318">
        <v>12.64</v>
      </c>
      <c r="M318">
        <v>0</v>
      </c>
      <c r="N318">
        <v>91.79</v>
      </c>
      <c r="O318">
        <v>0</v>
      </c>
      <c r="P318">
        <v>0.48599999999999999</v>
      </c>
      <c r="Q318">
        <v>12.531000000000001</v>
      </c>
      <c r="R318">
        <v>87.468999999999994</v>
      </c>
      <c r="S318">
        <v>12.531000000000001</v>
      </c>
      <c r="T318">
        <v>566.99</v>
      </c>
      <c r="U318">
        <v>0.23</v>
      </c>
      <c r="W318">
        <v>2</v>
      </c>
      <c r="X318">
        <v>-1.4</v>
      </c>
    </row>
    <row r="319" spans="1:25" x14ac:dyDescent="0.25">
      <c r="A319" t="s">
        <v>61</v>
      </c>
      <c r="B319" t="s">
        <v>26</v>
      </c>
      <c r="C319" t="s">
        <v>27</v>
      </c>
      <c r="D319">
        <v>2006</v>
      </c>
      <c r="E319">
        <v>82700404</v>
      </c>
      <c r="F319">
        <v>650403845291</v>
      </c>
      <c r="G319">
        <v>111.66</v>
      </c>
      <c r="H319">
        <v>111.31</v>
      </c>
      <c r="I319">
        <v>0</v>
      </c>
      <c r="J319">
        <v>0.61</v>
      </c>
      <c r="K319">
        <v>13.39</v>
      </c>
      <c r="L319">
        <v>12.78</v>
      </c>
      <c r="M319">
        <v>0</v>
      </c>
      <c r="N319">
        <v>98.27</v>
      </c>
      <c r="O319">
        <v>0</v>
      </c>
      <c r="P319">
        <v>0.54600000000000004</v>
      </c>
      <c r="Q319">
        <v>11.992000000000001</v>
      </c>
      <c r="R319">
        <v>88.007999999999996</v>
      </c>
      <c r="S319">
        <v>11.992000000000001</v>
      </c>
      <c r="T319">
        <v>570.21</v>
      </c>
      <c r="U319">
        <v>0.27</v>
      </c>
      <c r="W319">
        <v>19.600000000000001</v>
      </c>
      <c r="X319">
        <v>1.8</v>
      </c>
    </row>
    <row r="320" spans="1:25" x14ac:dyDescent="0.25">
      <c r="A320" t="s">
        <v>61</v>
      </c>
      <c r="B320" t="s">
        <v>26</v>
      </c>
      <c r="C320" t="s">
        <v>27</v>
      </c>
      <c r="D320">
        <v>2007</v>
      </c>
      <c r="E320">
        <v>84276224</v>
      </c>
      <c r="F320">
        <v>713462332878</v>
      </c>
      <c r="G320">
        <v>119.86</v>
      </c>
      <c r="H320">
        <v>119.3</v>
      </c>
      <c r="I320">
        <v>0</v>
      </c>
      <c r="J320">
        <v>0.66</v>
      </c>
      <c r="K320">
        <v>14.88</v>
      </c>
      <c r="L320">
        <v>14.22</v>
      </c>
      <c r="M320">
        <v>0</v>
      </c>
      <c r="N320">
        <v>104.98</v>
      </c>
      <c r="O320">
        <v>0</v>
      </c>
      <c r="P320">
        <v>0.55100000000000005</v>
      </c>
      <c r="Q320">
        <v>12.414</v>
      </c>
      <c r="R320">
        <v>87.585999999999999</v>
      </c>
      <c r="S320">
        <v>12.414</v>
      </c>
      <c r="T320">
        <v>567.58000000000004</v>
      </c>
      <c r="U320">
        <v>0.3</v>
      </c>
      <c r="W320">
        <v>8.1999999999999993</v>
      </c>
      <c r="X320">
        <v>11.1</v>
      </c>
    </row>
    <row r="321" spans="1:25" x14ac:dyDescent="0.25">
      <c r="A321" t="s">
        <v>61</v>
      </c>
      <c r="B321" t="s">
        <v>26</v>
      </c>
      <c r="C321" t="s">
        <v>27</v>
      </c>
      <c r="D321">
        <v>2008</v>
      </c>
      <c r="E321">
        <v>85864791</v>
      </c>
      <c r="F321">
        <v>775303694329</v>
      </c>
      <c r="G321">
        <v>128.80000000000001</v>
      </c>
      <c r="H321">
        <v>127.9</v>
      </c>
      <c r="I321">
        <v>0</v>
      </c>
      <c r="J321">
        <v>0.93</v>
      </c>
      <c r="K321">
        <v>16.03</v>
      </c>
      <c r="L321">
        <v>15.1</v>
      </c>
      <c r="M321">
        <v>0</v>
      </c>
      <c r="N321">
        <v>112.77</v>
      </c>
      <c r="O321">
        <v>0</v>
      </c>
      <c r="P321">
        <v>0.72199999999999998</v>
      </c>
      <c r="Q321">
        <v>12.446</v>
      </c>
      <c r="R321">
        <v>87.554000000000002</v>
      </c>
      <c r="S321">
        <v>12.446</v>
      </c>
      <c r="T321">
        <v>567.39</v>
      </c>
      <c r="U321">
        <v>0.42</v>
      </c>
      <c r="W321">
        <v>40.9</v>
      </c>
      <c r="X321">
        <v>7.7</v>
      </c>
    </row>
    <row r="322" spans="1:25" x14ac:dyDescent="0.25">
      <c r="A322" t="s">
        <v>61</v>
      </c>
      <c r="B322" t="s">
        <v>26</v>
      </c>
      <c r="C322" t="s">
        <v>27</v>
      </c>
      <c r="D322">
        <v>2009</v>
      </c>
      <c r="E322">
        <v>87501635</v>
      </c>
      <c r="F322">
        <v>831415021492</v>
      </c>
      <c r="G322">
        <v>134.27000000000001</v>
      </c>
      <c r="H322">
        <v>133.33000000000001</v>
      </c>
      <c r="I322">
        <v>0</v>
      </c>
      <c r="J322">
        <v>1.04</v>
      </c>
      <c r="K322">
        <v>14.81</v>
      </c>
      <c r="L322">
        <v>13.77</v>
      </c>
      <c r="M322">
        <v>0</v>
      </c>
      <c r="N322">
        <v>119.46</v>
      </c>
      <c r="O322">
        <v>0</v>
      </c>
      <c r="P322">
        <v>0.77500000000000002</v>
      </c>
      <c r="Q322">
        <v>11.03</v>
      </c>
      <c r="R322">
        <v>88.97</v>
      </c>
      <c r="S322">
        <v>11.03</v>
      </c>
      <c r="T322">
        <v>576.45000000000005</v>
      </c>
      <c r="U322">
        <v>0.47</v>
      </c>
      <c r="W322">
        <v>11.8</v>
      </c>
      <c r="X322">
        <v>-7.6</v>
      </c>
    </row>
    <row r="323" spans="1:25" x14ac:dyDescent="0.25">
      <c r="A323" t="s">
        <v>61</v>
      </c>
      <c r="B323" t="s">
        <v>26</v>
      </c>
      <c r="C323" t="s">
        <v>27</v>
      </c>
      <c r="D323">
        <v>2010</v>
      </c>
      <c r="E323">
        <v>89196073</v>
      </c>
      <c r="F323">
        <v>898751418203</v>
      </c>
      <c r="G323">
        <v>144.43</v>
      </c>
      <c r="H323">
        <v>142.99</v>
      </c>
      <c r="I323">
        <v>0.03</v>
      </c>
      <c r="J323">
        <v>1.41</v>
      </c>
      <c r="K323">
        <v>14.39</v>
      </c>
      <c r="L323">
        <v>12.95</v>
      </c>
      <c r="M323">
        <v>0</v>
      </c>
      <c r="N323">
        <v>130.04</v>
      </c>
      <c r="O323">
        <v>2.1000000000000001E-2</v>
      </c>
      <c r="P323">
        <v>0.97599999999999998</v>
      </c>
      <c r="Q323">
        <v>9.9629999999999992</v>
      </c>
      <c r="R323">
        <v>90.037000000000006</v>
      </c>
      <c r="S323">
        <v>9.9629999999999992</v>
      </c>
      <c r="T323">
        <v>582.70000000000005</v>
      </c>
      <c r="U323">
        <v>0.65</v>
      </c>
      <c r="W323">
        <v>35.6</v>
      </c>
      <c r="X323">
        <v>-2.8</v>
      </c>
    </row>
    <row r="324" spans="1:25" x14ac:dyDescent="0.25">
      <c r="A324" t="s">
        <v>61</v>
      </c>
      <c r="B324" t="s">
        <v>26</v>
      </c>
      <c r="C324" t="s">
        <v>27</v>
      </c>
      <c r="D324">
        <v>2011</v>
      </c>
      <c r="E324">
        <v>91093066</v>
      </c>
      <c r="F324">
        <v>923052843843</v>
      </c>
      <c r="G324">
        <v>149.56</v>
      </c>
      <c r="H324">
        <v>147.97999999999999</v>
      </c>
      <c r="I324">
        <v>0.24</v>
      </c>
      <c r="J324">
        <v>1.49</v>
      </c>
      <c r="K324">
        <v>14.72</v>
      </c>
      <c r="L324">
        <v>12.99</v>
      </c>
      <c r="M324">
        <v>0</v>
      </c>
      <c r="N324">
        <v>134.84</v>
      </c>
      <c r="O324">
        <v>0.16</v>
      </c>
      <c r="P324">
        <v>0.996</v>
      </c>
      <c r="Q324">
        <v>9.8420000000000005</v>
      </c>
      <c r="R324">
        <v>90.158000000000001</v>
      </c>
      <c r="S324">
        <v>9.8420000000000005</v>
      </c>
      <c r="T324">
        <v>583.17999999999995</v>
      </c>
      <c r="U324">
        <v>0.78</v>
      </c>
      <c r="V324">
        <v>700</v>
      </c>
      <c r="W324">
        <v>5.7</v>
      </c>
      <c r="X324">
        <v>2.2999999999999998</v>
      </c>
    </row>
    <row r="325" spans="1:25" x14ac:dyDescent="0.25">
      <c r="A325" t="s">
        <v>61</v>
      </c>
      <c r="B325" t="s">
        <v>26</v>
      </c>
      <c r="C325" t="s">
        <v>27</v>
      </c>
      <c r="D325">
        <v>2012</v>
      </c>
      <c r="E325">
        <v>93161000</v>
      </c>
      <c r="F325">
        <v>950287307199</v>
      </c>
      <c r="G325">
        <v>162.84</v>
      </c>
      <c r="H325">
        <v>162.44</v>
      </c>
      <c r="I325">
        <v>0.5</v>
      </c>
      <c r="J325">
        <v>1.34</v>
      </c>
      <c r="K325">
        <v>14.87</v>
      </c>
      <c r="L325">
        <v>13.03</v>
      </c>
      <c r="M325">
        <v>0</v>
      </c>
      <c r="N325">
        <v>147.97</v>
      </c>
      <c r="O325">
        <v>0.307</v>
      </c>
      <c r="P325">
        <v>0.82299999999999995</v>
      </c>
      <c r="Q325">
        <v>9.1319999999999997</v>
      </c>
      <c r="R325">
        <v>90.867999999999995</v>
      </c>
      <c r="S325">
        <v>9.1319999999999997</v>
      </c>
      <c r="T325">
        <v>587.88</v>
      </c>
      <c r="U325">
        <v>0.83</v>
      </c>
      <c r="V325">
        <v>108.3</v>
      </c>
      <c r="W325">
        <v>-10.1</v>
      </c>
      <c r="X325">
        <v>1</v>
      </c>
    </row>
    <row r="326" spans="1:25" x14ac:dyDescent="0.25">
      <c r="A326" t="s">
        <v>61</v>
      </c>
      <c r="B326" t="s">
        <v>26</v>
      </c>
      <c r="C326" t="s">
        <v>27</v>
      </c>
      <c r="D326">
        <v>2013</v>
      </c>
      <c r="E326">
        <v>95333551</v>
      </c>
      <c r="F326">
        <v>984556585202</v>
      </c>
      <c r="G326">
        <v>165.08</v>
      </c>
      <c r="H326">
        <v>164.68</v>
      </c>
      <c r="I326">
        <v>0.03</v>
      </c>
      <c r="J326">
        <v>1.58</v>
      </c>
      <c r="K326">
        <v>14.85</v>
      </c>
      <c r="L326">
        <v>13.24</v>
      </c>
      <c r="M326">
        <v>0</v>
      </c>
      <c r="N326">
        <v>150.22999999999999</v>
      </c>
      <c r="O326">
        <v>1.7999999999999999E-2</v>
      </c>
      <c r="P326">
        <v>0.95699999999999996</v>
      </c>
      <c r="Q326">
        <v>8.9960000000000004</v>
      </c>
      <c r="R326">
        <v>91.004000000000005</v>
      </c>
      <c r="S326">
        <v>8.9960000000000004</v>
      </c>
      <c r="T326">
        <v>589.16999999999996</v>
      </c>
      <c r="U326">
        <v>0.72</v>
      </c>
      <c r="V326">
        <v>-94</v>
      </c>
      <c r="W326">
        <v>17.899999999999999</v>
      </c>
      <c r="X326">
        <v>-0.1</v>
      </c>
    </row>
    <row r="327" spans="1:25" x14ac:dyDescent="0.25">
      <c r="A327" t="s">
        <v>61</v>
      </c>
      <c r="B327" t="s">
        <v>26</v>
      </c>
      <c r="C327" t="s">
        <v>27</v>
      </c>
      <c r="D327">
        <v>2014</v>
      </c>
      <c r="E327">
        <v>97528655</v>
      </c>
      <c r="F327">
        <v>1035721838706</v>
      </c>
      <c r="G327">
        <v>171.24</v>
      </c>
      <c r="H327">
        <v>170.56</v>
      </c>
      <c r="I327">
        <v>0.14000000000000001</v>
      </c>
      <c r="J327">
        <v>1.03</v>
      </c>
      <c r="K327">
        <v>14.76</v>
      </c>
      <c r="L327">
        <v>13.59</v>
      </c>
      <c r="M327">
        <v>0</v>
      </c>
      <c r="N327">
        <v>156.47999999999999</v>
      </c>
      <c r="O327">
        <v>8.2000000000000003E-2</v>
      </c>
      <c r="P327">
        <v>0.60099999999999998</v>
      </c>
      <c r="Q327">
        <v>8.6189999999999998</v>
      </c>
      <c r="R327">
        <v>91.381</v>
      </c>
      <c r="S327">
        <v>8.6189999999999998</v>
      </c>
      <c r="T327">
        <v>591.86</v>
      </c>
      <c r="U327">
        <v>0.53</v>
      </c>
      <c r="V327">
        <v>366.7</v>
      </c>
      <c r="W327">
        <v>-34.799999999999997</v>
      </c>
      <c r="X327">
        <v>-0.6</v>
      </c>
    </row>
    <row r="328" spans="1:25" x14ac:dyDescent="0.25">
      <c r="A328" t="s">
        <v>61</v>
      </c>
      <c r="B328" t="s">
        <v>26</v>
      </c>
      <c r="C328" t="s">
        <v>27</v>
      </c>
      <c r="D328">
        <v>2015</v>
      </c>
      <c r="E328">
        <v>99597334</v>
      </c>
      <c r="F328">
        <v>1079611566322</v>
      </c>
      <c r="G328">
        <v>181.83</v>
      </c>
      <c r="H328">
        <v>181.14</v>
      </c>
      <c r="I328">
        <v>0.04</v>
      </c>
      <c r="J328">
        <v>1.89</v>
      </c>
      <c r="K328">
        <v>15.61</v>
      </c>
      <c r="L328">
        <v>13.68</v>
      </c>
      <c r="M328">
        <v>0</v>
      </c>
      <c r="N328">
        <v>166.22</v>
      </c>
      <c r="O328">
        <v>2.1999999999999999E-2</v>
      </c>
      <c r="P328">
        <v>1.0389999999999999</v>
      </c>
      <c r="Q328">
        <v>8.5850000000000009</v>
      </c>
      <c r="R328">
        <v>91.415000000000006</v>
      </c>
      <c r="S328">
        <v>8.5850000000000009</v>
      </c>
      <c r="T328">
        <v>592.26</v>
      </c>
      <c r="U328">
        <v>0.87</v>
      </c>
      <c r="V328">
        <v>-71.400000000000006</v>
      </c>
      <c r="W328">
        <v>83.5</v>
      </c>
      <c r="X328">
        <v>5.8</v>
      </c>
    </row>
    <row r="329" spans="1:25" x14ac:dyDescent="0.25">
      <c r="A329" t="s">
        <v>61</v>
      </c>
      <c r="B329" t="s">
        <v>26</v>
      </c>
      <c r="C329" t="s">
        <v>27</v>
      </c>
      <c r="D329">
        <v>2016</v>
      </c>
      <c r="E329">
        <v>101644583</v>
      </c>
      <c r="F329">
        <v>1121578599865</v>
      </c>
      <c r="G329">
        <v>188.19</v>
      </c>
      <c r="H329">
        <v>187.92</v>
      </c>
      <c r="I329">
        <v>0.23</v>
      </c>
      <c r="J329">
        <v>2.4</v>
      </c>
      <c r="K329">
        <v>15.83</v>
      </c>
      <c r="L329">
        <v>13.2</v>
      </c>
      <c r="M329">
        <v>0</v>
      </c>
      <c r="N329">
        <v>172.36</v>
      </c>
      <c r="O329">
        <v>0.122</v>
      </c>
      <c r="P329">
        <v>1.2749999999999999</v>
      </c>
      <c r="Q329">
        <v>8.4120000000000008</v>
      </c>
      <c r="R329">
        <v>91.587999999999994</v>
      </c>
      <c r="S329">
        <v>8.4120000000000008</v>
      </c>
      <c r="T329">
        <v>592.97</v>
      </c>
      <c r="U329">
        <v>1.18</v>
      </c>
      <c r="V329">
        <v>475</v>
      </c>
      <c r="W329">
        <v>27</v>
      </c>
      <c r="X329">
        <v>1.4</v>
      </c>
    </row>
    <row r="330" spans="1:25" x14ac:dyDescent="0.25">
      <c r="A330" t="s">
        <v>61</v>
      </c>
      <c r="B330" t="s">
        <v>26</v>
      </c>
      <c r="C330" t="s">
        <v>27</v>
      </c>
      <c r="D330">
        <v>2017</v>
      </c>
      <c r="E330">
        <v>103696055</v>
      </c>
      <c r="F330">
        <v>1158060486104</v>
      </c>
      <c r="G330">
        <v>193.21</v>
      </c>
      <c r="H330">
        <v>192.87</v>
      </c>
      <c r="I330">
        <v>0.6</v>
      </c>
      <c r="J330">
        <v>2.11</v>
      </c>
      <c r="K330">
        <v>15.5</v>
      </c>
      <c r="L330">
        <v>12.79</v>
      </c>
      <c r="M330">
        <v>0</v>
      </c>
      <c r="N330">
        <v>177.71</v>
      </c>
      <c r="O330">
        <v>0.311</v>
      </c>
      <c r="P330">
        <v>1.0920000000000001</v>
      </c>
      <c r="Q330">
        <v>8.0220000000000002</v>
      </c>
      <c r="R330">
        <v>91.977999999999994</v>
      </c>
      <c r="S330">
        <v>8.0220000000000002</v>
      </c>
      <c r="T330">
        <v>594.69000000000005</v>
      </c>
      <c r="U330">
        <v>1.22</v>
      </c>
      <c r="V330">
        <v>160.9</v>
      </c>
      <c r="W330">
        <v>-12.1</v>
      </c>
      <c r="X330">
        <v>-2.1</v>
      </c>
    </row>
    <row r="331" spans="1:25" x14ac:dyDescent="0.25">
      <c r="A331" t="s">
        <v>61</v>
      </c>
      <c r="B331" t="s">
        <v>26</v>
      </c>
      <c r="C331" t="s">
        <v>27</v>
      </c>
      <c r="D331">
        <v>2018</v>
      </c>
      <c r="E331">
        <v>105682092</v>
      </c>
      <c r="F331">
        <v>1220661740193</v>
      </c>
      <c r="G331">
        <v>199.39</v>
      </c>
      <c r="H331">
        <v>198.82</v>
      </c>
      <c r="I331">
        <v>0.55000000000000004</v>
      </c>
      <c r="J331">
        <v>2.99</v>
      </c>
      <c r="K331">
        <v>16.46</v>
      </c>
      <c r="L331">
        <v>12.92</v>
      </c>
      <c r="M331">
        <v>0</v>
      </c>
      <c r="N331">
        <v>182.93</v>
      </c>
      <c r="O331">
        <v>0.27600000000000002</v>
      </c>
      <c r="P331">
        <v>1.5</v>
      </c>
      <c r="Q331">
        <v>8.2550000000000008</v>
      </c>
      <c r="R331">
        <v>91.745000000000005</v>
      </c>
      <c r="S331">
        <v>8.2550000000000008</v>
      </c>
      <c r="T331">
        <v>592.41</v>
      </c>
      <c r="U331">
        <v>1.59</v>
      </c>
      <c r="V331">
        <v>-8.3000000000000007</v>
      </c>
      <c r="W331">
        <v>41.7</v>
      </c>
      <c r="X331">
        <v>6.2</v>
      </c>
    </row>
    <row r="332" spans="1:25" x14ac:dyDescent="0.25">
      <c r="A332" t="s">
        <v>61</v>
      </c>
      <c r="B332" t="s">
        <v>26</v>
      </c>
      <c r="C332" t="s">
        <v>27</v>
      </c>
      <c r="D332">
        <v>2019</v>
      </c>
      <c r="E332">
        <v>107553159</v>
      </c>
      <c r="F332">
        <v>1289253465646</v>
      </c>
      <c r="G332">
        <v>200.57</v>
      </c>
      <c r="H332">
        <v>199.78</v>
      </c>
      <c r="I332">
        <v>1.49</v>
      </c>
      <c r="J332">
        <v>4.9800000000000004</v>
      </c>
      <c r="K332">
        <v>19.59</v>
      </c>
      <c r="L332">
        <v>13.12</v>
      </c>
      <c r="M332">
        <v>0</v>
      </c>
      <c r="N332">
        <v>180.98</v>
      </c>
      <c r="O332">
        <v>0.74299999999999999</v>
      </c>
      <c r="P332">
        <v>2.4830000000000001</v>
      </c>
      <c r="Q332">
        <v>9.7669999999999995</v>
      </c>
      <c r="R332">
        <v>90.233000000000004</v>
      </c>
      <c r="S332">
        <v>9.7669999999999995</v>
      </c>
      <c r="T332">
        <v>582.49</v>
      </c>
      <c r="U332">
        <v>2.91</v>
      </c>
      <c r="V332">
        <v>170.9</v>
      </c>
      <c r="W332">
        <v>66.599999999999994</v>
      </c>
      <c r="X332">
        <v>19</v>
      </c>
    </row>
    <row r="333" spans="1:25" x14ac:dyDescent="0.25">
      <c r="A333" t="s">
        <v>61</v>
      </c>
      <c r="B333" t="s">
        <v>26</v>
      </c>
      <c r="C333" t="s">
        <v>27</v>
      </c>
      <c r="D333">
        <v>2020</v>
      </c>
      <c r="E333">
        <v>109315118</v>
      </c>
      <c r="F333">
        <v>1307778142529</v>
      </c>
      <c r="G333">
        <v>198.6</v>
      </c>
      <c r="H333">
        <v>197.18</v>
      </c>
      <c r="I333">
        <v>4.45</v>
      </c>
      <c r="J333">
        <v>5.23</v>
      </c>
      <c r="K333">
        <v>23.76</v>
      </c>
      <c r="L333">
        <v>14.08</v>
      </c>
      <c r="M333">
        <v>0</v>
      </c>
      <c r="N333">
        <v>174.84</v>
      </c>
      <c r="O333">
        <v>2.2410000000000001</v>
      </c>
      <c r="P333">
        <v>2.633</v>
      </c>
      <c r="Q333">
        <v>11.964</v>
      </c>
      <c r="R333">
        <v>88.036000000000001</v>
      </c>
      <c r="S333">
        <v>11.964</v>
      </c>
      <c r="T333">
        <v>569.08000000000004</v>
      </c>
      <c r="U333">
        <v>4.3600000000000003</v>
      </c>
      <c r="V333">
        <v>198.7</v>
      </c>
      <c r="W333">
        <v>5</v>
      </c>
      <c r="X333">
        <v>21.3</v>
      </c>
    </row>
    <row r="334" spans="1:25" x14ac:dyDescent="0.25">
      <c r="A334" t="s">
        <v>61</v>
      </c>
      <c r="B334" t="s">
        <v>26</v>
      </c>
      <c r="C334" t="s">
        <v>27</v>
      </c>
      <c r="D334">
        <v>2021</v>
      </c>
      <c r="E334">
        <v>110957005</v>
      </c>
      <c r="F334">
        <v>1400985648780</v>
      </c>
      <c r="G334">
        <v>209.66</v>
      </c>
      <c r="H334">
        <v>208.19</v>
      </c>
      <c r="I334">
        <v>4.97</v>
      </c>
      <c r="J334">
        <v>5.49</v>
      </c>
      <c r="K334">
        <v>25.36</v>
      </c>
      <c r="L334">
        <v>14.9</v>
      </c>
      <c r="M334">
        <v>0</v>
      </c>
      <c r="N334">
        <v>184.3</v>
      </c>
      <c r="O334">
        <v>2.371</v>
      </c>
      <c r="P334">
        <v>2.6190000000000002</v>
      </c>
      <c r="Q334">
        <v>12.096</v>
      </c>
      <c r="R334">
        <v>87.903999999999996</v>
      </c>
      <c r="S334">
        <v>12.096</v>
      </c>
      <c r="T334">
        <v>568.05999999999995</v>
      </c>
      <c r="U334">
        <v>4.71</v>
      </c>
      <c r="V334">
        <v>11.7</v>
      </c>
      <c r="W334">
        <v>5</v>
      </c>
      <c r="X334">
        <v>6.7</v>
      </c>
    </row>
    <row r="335" spans="1:25" x14ac:dyDescent="0.25">
      <c r="A335" t="s">
        <v>61</v>
      </c>
      <c r="B335" t="s">
        <v>26</v>
      </c>
      <c r="C335" t="s">
        <v>27</v>
      </c>
      <c r="D335">
        <v>2022</v>
      </c>
      <c r="E335">
        <v>112618252</v>
      </c>
      <c r="F335">
        <v>1460427350416</v>
      </c>
      <c r="G335">
        <v>216.72</v>
      </c>
      <c r="H335">
        <v>215.15</v>
      </c>
      <c r="I335">
        <v>5</v>
      </c>
      <c r="J335">
        <v>5.9</v>
      </c>
      <c r="K335">
        <v>25.61</v>
      </c>
      <c r="L335">
        <v>14.71</v>
      </c>
      <c r="M335">
        <v>0</v>
      </c>
      <c r="N335">
        <v>191.11</v>
      </c>
      <c r="O335">
        <v>2.3069999999999999</v>
      </c>
      <c r="P335">
        <v>2.722</v>
      </c>
      <c r="Q335">
        <v>11.817</v>
      </c>
      <c r="R335">
        <v>88.183000000000007</v>
      </c>
      <c r="S335">
        <v>11.817</v>
      </c>
      <c r="T335">
        <v>570.04</v>
      </c>
      <c r="U335">
        <v>4.9000000000000004</v>
      </c>
      <c r="V335">
        <v>0.6</v>
      </c>
      <c r="W335">
        <v>7.5</v>
      </c>
      <c r="X335">
        <v>1</v>
      </c>
      <c r="Y335" t="s">
        <v>62</v>
      </c>
    </row>
    <row r="336" spans="1:25" x14ac:dyDescent="0.25">
      <c r="A336" t="s">
        <v>61</v>
      </c>
      <c r="B336" t="s">
        <v>26</v>
      </c>
      <c r="C336" t="s">
        <v>27</v>
      </c>
      <c r="D336">
        <v>2023</v>
      </c>
      <c r="E336">
        <v>114535772</v>
      </c>
      <c r="G336">
        <v>221.92</v>
      </c>
      <c r="H336">
        <v>220.53</v>
      </c>
      <c r="I336">
        <v>4.93</v>
      </c>
      <c r="J336">
        <v>5.99</v>
      </c>
      <c r="K336">
        <v>25.97</v>
      </c>
      <c r="L336">
        <v>15.05</v>
      </c>
      <c r="M336">
        <v>0</v>
      </c>
      <c r="N336">
        <v>195.95</v>
      </c>
      <c r="O336">
        <v>2.222</v>
      </c>
      <c r="P336">
        <v>2.6989999999999998</v>
      </c>
      <c r="Q336">
        <v>11.702</v>
      </c>
      <c r="R336">
        <v>88.298000000000002</v>
      </c>
      <c r="S336">
        <v>11.702</v>
      </c>
      <c r="T336">
        <v>571.29</v>
      </c>
      <c r="U336">
        <v>4.91</v>
      </c>
      <c r="V336">
        <v>-1.4</v>
      </c>
      <c r="W336">
        <v>1.5</v>
      </c>
      <c r="X336">
        <v>1.4</v>
      </c>
    </row>
    <row r="337" spans="1:24" x14ac:dyDescent="0.25">
      <c r="A337" t="s">
        <v>61</v>
      </c>
      <c r="B337" t="s">
        <v>26</v>
      </c>
      <c r="C337" t="s">
        <v>27</v>
      </c>
      <c r="D337">
        <v>2024</v>
      </c>
      <c r="E337">
        <v>116538256</v>
      </c>
      <c r="G337">
        <v>237.39</v>
      </c>
      <c r="H337">
        <v>235.99</v>
      </c>
      <c r="I337">
        <v>6.07</v>
      </c>
      <c r="J337">
        <v>6.14</v>
      </c>
      <c r="K337">
        <v>26.58</v>
      </c>
      <c r="L337">
        <v>14.37</v>
      </c>
      <c r="M337">
        <v>0</v>
      </c>
      <c r="N337">
        <v>210.81</v>
      </c>
      <c r="O337">
        <v>2.5569999999999999</v>
      </c>
      <c r="P337">
        <v>2.5859999999999999</v>
      </c>
      <c r="Q337">
        <v>11.196999999999999</v>
      </c>
      <c r="R337">
        <v>88.802999999999997</v>
      </c>
      <c r="S337">
        <v>11.196999999999999</v>
      </c>
      <c r="T337">
        <v>574.5</v>
      </c>
      <c r="U337">
        <v>5.49</v>
      </c>
      <c r="V337">
        <v>23.1</v>
      </c>
      <c r="W337">
        <v>2.5</v>
      </c>
      <c r="X337">
        <v>2.2999999999999998</v>
      </c>
    </row>
    <row r="338" spans="1:24" x14ac:dyDescent="0.25">
      <c r="A338" t="s">
        <v>61</v>
      </c>
      <c r="B338" t="s">
        <v>26</v>
      </c>
      <c r="C338" t="s">
        <v>27</v>
      </c>
      <c r="D338">
        <v>2025</v>
      </c>
      <c r="E338">
        <v>118365995</v>
      </c>
      <c r="G338">
        <v>245.71</v>
      </c>
      <c r="H338">
        <v>244.31</v>
      </c>
      <c r="I338">
        <v>7.61</v>
      </c>
      <c r="J338">
        <v>9.3000000000000007</v>
      </c>
      <c r="K338">
        <v>31.98</v>
      </c>
      <c r="L338">
        <v>15.07</v>
      </c>
      <c r="N338">
        <v>213.73</v>
      </c>
      <c r="O338">
        <v>3.097</v>
      </c>
      <c r="P338">
        <v>3.7850000000000001</v>
      </c>
      <c r="Q338">
        <v>13.015000000000001</v>
      </c>
      <c r="R338">
        <v>86.984999999999999</v>
      </c>
      <c r="S338">
        <v>13.015000000000001</v>
      </c>
      <c r="T338">
        <v>563.23</v>
      </c>
      <c r="U338">
        <v>7.61</v>
      </c>
      <c r="V338">
        <v>25.4</v>
      </c>
      <c r="W338">
        <v>51.5</v>
      </c>
      <c r="X338">
        <v>20.3</v>
      </c>
    </row>
    <row r="339" spans="1:24" x14ac:dyDescent="0.25">
      <c r="A339" t="s">
        <v>63</v>
      </c>
      <c r="B339" t="s">
        <v>38</v>
      </c>
      <c r="C339" t="s">
        <v>35</v>
      </c>
      <c r="D339">
        <v>2000</v>
      </c>
      <c r="E339">
        <v>5176197</v>
      </c>
      <c r="F339">
        <v>169209765102</v>
      </c>
      <c r="G339">
        <v>69.97</v>
      </c>
      <c r="H339">
        <v>81.849999999999994</v>
      </c>
      <c r="I339">
        <v>0</v>
      </c>
      <c r="J339">
        <v>0.08</v>
      </c>
      <c r="K339">
        <v>23.38</v>
      </c>
      <c r="L339">
        <v>14.66</v>
      </c>
      <c r="M339">
        <v>22.48</v>
      </c>
      <c r="N339">
        <v>24.11</v>
      </c>
      <c r="O339">
        <v>0</v>
      </c>
      <c r="P339">
        <v>0.114</v>
      </c>
      <c r="Q339">
        <v>33.414000000000001</v>
      </c>
      <c r="R339">
        <v>34.457999999999998</v>
      </c>
      <c r="S339">
        <v>65.542000000000002</v>
      </c>
      <c r="T339">
        <v>246.82</v>
      </c>
      <c r="U339">
        <v>0.04</v>
      </c>
    </row>
    <row r="340" spans="1:24" x14ac:dyDescent="0.25">
      <c r="A340" t="s">
        <v>63</v>
      </c>
      <c r="B340" t="s">
        <v>38</v>
      </c>
      <c r="C340" t="s">
        <v>35</v>
      </c>
      <c r="D340">
        <v>2001</v>
      </c>
      <c r="E340">
        <v>5187970</v>
      </c>
      <c r="F340">
        <v>173703951475</v>
      </c>
      <c r="G340">
        <v>74.45</v>
      </c>
      <c r="H340">
        <v>84.41</v>
      </c>
      <c r="I340">
        <v>0</v>
      </c>
      <c r="J340">
        <v>7.0000000000000007E-2</v>
      </c>
      <c r="K340">
        <v>21.54</v>
      </c>
      <c r="L340">
        <v>13.2</v>
      </c>
      <c r="M340">
        <v>22.77</v>
      </c>
      <c r="N340">
        <v>30.14</v>
      </c>
      <c r="O340">
        <v>0</v>
      </c>
      <c r="P340">
        <v>9.4E-2</v>
      </c>
      <c r="Q340">
        <v>28.931999999999999</v>
      </c>
      <c r="R340">
        <v>40.484000000000002</v>
      </c>
      <c r="S340">
        <v>59.515999999999998</v>
      </c>
      <c r="T340">
        <v>284.89</v>
      </c>
      <c r="U340">
        <v>0.03</v>
      </c>
      <c r="W340">
        <v>-12.5</v>
      </c>
      <c r="X340">
        <v>-7.9</v>
      </c>
    </row>
    <row r="341" spans="1:24" x14ac:dyDescent="0.25">
      <c r="A341" t="s">
        <v>63</v>
      </c>
      <c r="B341" t="s">
        <v>38</v>
      </c>
      <c r="C341" t="s">
        <v>35</v>
      </c>
      <c r="D341">
        <v>2002</v>
      </c>
      <c r="E341">
        <v>5200548</v>
      </c>
      <c r="F341">
        <v>176751491921</v>
      </c>
      <c r="G341">
        <v>74.92</v>
      </c>
      <c r="H341">
        <v>86.84</v>
      </c>
      <c r="I341">
        <v>0</v>
      </c>
      <c r="J341">
        <v>0.06</v>
      </c>
      <c r="K341">
        <v>19.829999999999998</v>
      </c>
      <c r="L341">
        <v>10.78</v>
      </c>
      <c r="M341">
        <v>22.3</v>
      </c>
      <c r="N341">
        <v>32.79</v>
      </c>
      <c r="O341">
        <v>0</v>
      </c>
      <c r="P341">
        <v>0.08</v>
      </c>
      <c r="Q341">
        <v>26.468</v>
      </c>
      <c r="R341">
        <v>43.767000000000003</v>
      </c>
      <c r="S341">
        <v>56.232999999999997</v>
      </c>
      <c r="T341">
        <v>316.2</v>
      </c>
      <c r="U341">
        <v>0.03</v>
      </c>
      <c r="W341">
        <v>-14.3</v>
      </c>
      <c r="X341">
        <v>-7.9</v>
      </c>
    </row>
    <row r="342" spans="1:24" x14ac:dyDescent="0.25">
      <c r="A342" t="s">
        <v>63</v>
      </c>
      <c r="B342" t="s">
        <v>38</v>
      </c>
      <c r="C342" t="s">
        <v>35</v>
      </c>
      <c r="D342">
        <v>2003</v>
      </c>
      <c r="E342">
        <v>5212958</v>
      </c>
      <c r="F342">
        <v>180408462125</v>
      </c>
      <c r="G342">
        <v>84.28</v>
      </c>
      <c r="H342">
        <v>89.13</v>
      </c>
      <c r="I342">
        <v>0</v>
      </c>
      <c r="J342">
        <v>0.09</v>
      </c>
      <c r="K342">
        <v>19.059999999999999</v>
      </c>
      <c r="L342">
        <v>9.59</v>
      </c>
      <c r="M342">
        <v>22.73</v>
      </c>
      <c r="N342">
        <v>42.49</v>
      </c>
      <c r="O342">
        <v>0</v>
      </c>
      <c r="P342">
        <v>0.107</v>
      </c>
      <c r="Q342">
        <v>22.614999999999998</v>
      </c>
      <c r="R342">
        <v>50.414999999999999</v>
      </c>
      <c r="S342">
        <v>49.585000000000001</v>
      </c>
      <c r="T342">
        <v>371.38</v>
      </c>
      <c r="U342">
        <v>0.04</v>
      </c>
      <c r="W342">
        <v>50</v>
      </c>
      <c r="X342">
        <v>-3.9</v>
      </c>
    </row>
    <row r="343" spans="1:24" x14ac:dyDescent="0.25">
      <c r="A343" t="s">
        <v>63</v>
      </c>
      <c r="B343" t="s">
        <v>38</v>
      </c>
      <c r="C343" t="s">
        <v>35</v>
      </c>
      <c r="D343">
        <v>2004</v>
      </c>
      <c r="E343">
        <v>5228147</v>
      </c>
      <c r="F343">
        <v>187633923914</v>
      </c>
      <c r="G343">
        <v>85.84</v>
      </c>
      <c r="H343">
        <v>90.71</v>
      </c>
      <c r="I343">
        <v>0</v>
      </c>
      <c r="J343">
        <v>0.12</v>
      </c>
      <c r="K343">
        <v>25.63</v>
      </c>
      <c r="L343">
        <v>15.07</v>
      </c>
      <c r="M343">
        <v>22.72</v>
      </c>
      <c r="N343">
        <v>37.49</v>
      </c>
      <c r="O343">
        <v>0</v>
      </c>
      <c r="P343">
        <v>0.14000000000000001</v>
      </c>
      <c r="Q343">
        <v>29.858000000000001</v>
      </c>
      <c r="R343">
        <v>43.673999999999999</v>
      </c>
      <c r="S343">
        <v>56.326000000000001</v>
      </c>
      <c r="T343">
        <v>325.37</v>
      </c>
      <c r="U343">
        <v>0.05</v>
      </c>
      <c r="W343">
        <v>33.299999999999997</v>
      </c>
      <c r="X343">
        <v>34.5</v>
      </c>
    </row>
    <row r="344" spans="1:24" x14ac:dyDescent="0.25">
      <c r="A344" t="s">
        <v>63</v>
      </c>
      <c r="B344" t="s">
        <v>38</v>
      </c>
      <c r="C344" t="s">
        <v>35</v>
      </c>
      <c r="D344">
        <v>2005</v>
      </c>
      <c r="E344">
        <v>5246078</v>
      </c>
      <c r="F344">
        <v>192990732516</v>
      </c>
      <c r="G344">
        <v>70.56</v>
      </c>
      <c r="H344">
        <v>87.57</v>
      </c>
      <c r="I344">
        <v>0</v>
      </c>
      <c r="J344">
        <v>0.17</v>
      </c>
      <c r="K344">
        <v>23.46</v>
      </c>
      <c r="L344">
        <v>13.78</v>
      </c>
      <c r="M344">
        <v>23.27</v>
      </c>
      <c r="N344">
        <v>23.83</v>
      </c>
      <c r="O344">
        <v>0</v>
      </c>
      <c r="P344">
        <v>0.24099999999999999</v>
      </c>
      <c r="Q344">
        <v>33.247999999999998</v>
      </c>
      <c r="R344">
        <v>33.773000000000003</v>
      </c>
      <c r="S344">
        <v>66.227000000000004</v>
      </c>
      <c r="T344">
        <v>230.87</v>
      </c>
      <c r="U344">
        <v>0.08</v>
      </c>
      <c r="W344">
        <v>41.7</v>
      </c>
      <c r="X344">
        <v>-8.5</v>
      </c>
    </row>
    <row r="345" spans="1:24" x14ac:dyDescent="0.25">
      <c r="A345" t="s">
        <v>63</v>
      </c>
      <c r="B345" t="s">
        <v>38</v>
      </c>
      <c r="C345" t="s">
        <v>35</v>
      </c>
      <c r="D345">
        <v>2006</v>
      </c>
      <c r="E345">
        <v>5266248</v>
      </c>
      <c r="F345">
        <v>200966858669</v>
      </c>
      <c r="G345">
        <v>82.29</v>
      </c>
      <c r="H345">
        <v>93.69</v>
      </c>
      <c r="I345">
        <v>0</v>
      </c>
      <c r="J345">
        <v>0.16</v>
      </c>
      <c r="K345">
        <v>22.46</v>
      </c>
      <c r="L345">
        <v>11.49</v>
      </c>
      <c r="M345">
        <v>22.91</v>
      </c>
      <c r="N345">
        <v>36.92</v>
      </c>
      <c r="O345">
        <v>0</v>
      </c>
      <c r="P345">
        <v>0.19400000000000001</v>
      </c>
      <c r="Q345">
        <v>27.294</v>
      </c>
      <c r="R345">
        <v>44.866</v>
      </c>
      <c r="S345">
        <v>55.134</v>
      </c>
      <c r="T345">
        <v>335.76</v>
      </c>
      <c r="U345">
        <v>7.0000000000000007E-2</v>
      </c>
      <c r="W345">
        <v>-5.9</v>
      </c>
      <c r="X345">
        <v>-4.3</v>
      </c>
    </row>
    <row r="346" spans="1:24" x14ac:dyDescent="0.25">
      <c r="A346" t="s">
        <v>63</v>
      </c>
      <c r="B346" t="s">
        <v>38</v>
      </c>
      <c r="C346" t="s">
        <v>35</v>
      </c>
      <c r="D346">
        <v>2007</v>
      </c>
      <c r="E346">
        <v>5288715</v>
      </c>
      <c r="F346">
        <v>211541390078</v>
      </c>
      <c r="G346">
        <v>81.17</v>
      </c>
      <c r="H346">
        <v>93.73</v>
      </c>
      <c r="I346">
        <v>0</v>
      </c>
      <c r="J346">
        <v>0.19</v>
      </c>
      <c r="K346">
        <v>24.32</v>
      </c>
      <c r="L346">
        <v>14.18</v>
      </c>
      <c r="M346">
        <v>23.42</v>
      </c>
      <c r="N346">
        <v>33.43</v>
      </c>
      <c r="O346">
        <v>0</v>
      </c>
      <c r="P346">
        <v>0.23400000000000001</v>
      </c>
      <c r="Q346">
        <v>29.962</v>
      </c>
      <c r="R346">
        <v>41.185000000000002</v>
      </c>
      <c r="S346">
        <v>58.814999999999998</v>
      </c>
      <c r="T346">
        <v>309.10000000000002</v>
      </c>
      <c r="U346">
        <v>0.09</v>
      </c>
      <c r="W346">
        <v>18.8</v>
      </c>
      <c r="X346">
        <v>8.3000000000000007</v>
      </c>
    </row>
    <row r="347" spans="1:24" x14ac:dyDescent="0.25">
      <c r="A347" t="s">
        <v>63</v>
      </c>
      <c r="B347" t="s">
        <v>38</v>
      </c>
      <c r="C347" t="s">
        <v>35</v>
      </c>
      <c r="D347">
        <v>2008</v>
      </c>
      <c r="E347">
        <v>5313379</v>
      </c>
      <c r="F347">
        <v>213226105706</v>
      </c>
      <c r="G347">
        <v>77.349999999999994</v>
      </c>
      <c r="H347">
        <v>90.12</v>
      </c>
      <c r="I347">
        <v>0</v>
      </c>
      <c r="J347">
        <v>0.26</v>
      </c>
      <c r="K347">
        <v>27.77</v>
      </c>
      <c r="L347">
        <v>17.11</v>
      </c>
      <c r="M347">
        <v>22.96</v>
      </c>
      <c r="N347">
        <v>26.62</v>
      </c>
      <c r="O347">
        <v>0</v>
      </c>
      <c r="P347">
        <v>0.33600000000000002</v>
      </c>
      <c r="Q347">
        <v>35.902000000000001</v>
      </c>
      <c r="R347">
        <v>34.414999999999999</v>
      </c>
      <c r="S347">
        <v>65.584999999999994</v>
      </c>
      <c r="T347">
        <v>246.15</v>
      </c>
      <c r="U347">
        <v>0.12</v>
      </c>
      <c r="W347">
        <v>36.799999999999997</v>
      </c>
      <c r="X347">
        <v>14.2</v>
      </c>
    </row>
    <row r="348" spans="1:24" x14ac:dyDescent="0.25">
      <c r="A348" t="s">
        <v>63</v>
      </c>
      <c r="B348" t="s">
        <v>38</v>
      </c>
      <c r="C348" t="s">
        <v>35</v>
      </c>
      <c r="D348">
        <v>2009</v>
      </c>
      <c r="E348">
        <v>5338854</v>
      </c>
      <c r="F348">
        <v>195739132370</v>
      </c>
      <c r="G348">
        <v>72.06</v>
      </c>
      <c r="H348">
        <v>84.15</v>
      </c>
      <c r="I348">
        <v>0</v>
      </c>
      <c r="J348">
        <v>0.28000000000000003</v>
      </c>
      <c r="K348">
        <v>21.7</v>
      </c>
      <c r="L348">
        <v>12.69</v>
      </c>
      <c r="M348">
        <v>23.53</v>
      </c>
      <c r="N348">
        <v>26.83</v>
      </c>
      <c r="O348">
        <v>0</v>
      </c>
      <c r="P348">
        <v>0.38900000000000001</v>
      </c>
      <c r="Q348">
        <v>30.114000000000001</v>
      </c>
      <c r="R348">
        <v>37.232999999999997</v>
      </c>
      <c r="S348">
        <v>62.767000000000003</v>
      </c>
      <c r="T348">
        <v>276.16000000000003</v>
      </c>
      <c r="U348">
        <v>0.13</v>
      </c>
      <c r="W348">
        <v>7.7</v>
      </c>
      <c r="X348">
        <v>-21.9</v>
      </c>
    </row>
    <row r="349" spans="1:24" x14ac:dyDescent="0.25">
      <c r="A349" t="s">
        <v>63</v>
      </c>
      <c r="B349" t="s">
        <v>38</v>
      </c>
      <c r="C349" t="s">
        <v>35</v>
      </c>
      <c r="D349">
        <v>2010</v>
      </c>
      <c r="E349">
        <v>5363347</v>
      </c>
      <c r="F349">
        <v>201746033638</v>
      </c>
      <c r="G349">
        <v>80.64</v>
      </c>
      <c r="H349">
        <v>91.14</v>
      </c>
      <c r="I349">
        <v>0</v>
      </c>
      <c r="J349">
        <v>0.28999999999999998</v>
      </c>
      <c r="K349">
        <v>24.18</v>
      </c>
      <c r="L349">
        <v>12.92</v>
      </c>
      <c r="M349">
        <v>22.8</v>
      </c>
      <c r="N349">
        <v>33.659999999999997</v>
      </c>
      <c r="O349">
        <v>0</v>
      </c>
      <c r="P349">
        <v>0.36</v>
      </c>
      <c r="Q349">
        <v>29.984999999999999</v>
      </c>
      <c r="R349">
        <v>41.741</v>
      </c>
      <c r="S349">
        <v>58.259</v>
      </c>
      <c r="T349">
        <v>314.86</v>
      </c>
      <c r="U349">
        <v>0.13</v>
      </c>
      <c r="W349">
        <v>3.6</v>
      </c>
      <c r="X349">
        <v>11.4</v>
      </c>
    </row>
    <row r="350" spans="1:24" x14ac:dyDescent="0.25">
      <c r="A350" t="s">
        <v>63</v>
      </c>
      <c r="B350" t="s">
        <v>38</v>
      </c>
      <c r="C350" t="s">
        <v>35</v>
      </c>
      <c r="D350">
        <v>2011</v>
      </c>
      <c r="E350">
        <v>5388236</v>
      </c>
      <c r="F350">
        <v>207084301562</v>
      </c>
      <c r="G350">
        <v>73.5</v>
      </c>
      <c r="H350">
        <v>87.35</v>
      </c>
      <c r="I350">
        <v>0.01</v>
      </c>
      <c r="J350">
        <v>0.48</v>
      </c>
      <c r="K350">
        <v>24.18</v>
      </c>
      <c r="L350">
        <v>12.45</v>
      </c>
      <c r="M350">
        <v>23.19</v>
      </c>
      <c r="N350">
        <v>26.13</v>
      </c>
      <c r="O350">
        <v>1.4E-2</v>
      </c>
      <c r="P350">
        <v>0.65300000000000002</v>
      </c>
      <c r="Q350">
        <v>32.898000000000003</v>
      </c>
      <c r="R350">
        <v>35.551000000000002</v>
      </c>
      <c r="S350">
        <v>64.448999999999998</v>
      </c>
      <c r="T350">
        <v>268.16000000000003</v>
      </c>
      <c r="U350">
        <v>0.22</v>
      </c>
      <c r="W350">
        <v>65.5</v>
      </c>
      <c r="X350">
        <v>0</v>
      </c>
    </row>
    <row r="351" spans="1:24" x14ac:dyDescent="0.25">
      <c r="A351" t="s">
        <v>63</v>
      </c>
      <c r="B351" t="s">
        <v>38</v>
      </c>
      <c r="C351" t="s">
        <v>35</v>
      </c>
      <c r="D351">
        <v>2012</v>
      </c>
      <c r="E351">
        <v>5413978</v>
      </c>
      <c r="F351">
        <v>204190196792</v>
      </c>
      <c r="G351">
        <v>70.41</v>
      </c>
      <c r="H351">
        <v>87.85</v>
      </c>
      <c r="I351">
        <v>0.01</v>
      </c>
      <c r="J351">
        <v>0.49</v>
      </c>
      <c r="K351">
        <v>28.56</v>
      </c>
      <c r="L351">
        <v>16.86</v>
      </c>
      <c r="M351">
        <v>22.99</v>
      </c>
      <c r="N351">
        <v>18.86</v>
      </c>
      <c r="O351">
        <v>1.4E-2</v>
      </c>
      <c r="P351">
        <v>0.69599999999999995</v>
      </c>
      <c r="Q351">
        <v>40.561999999999998</v>
      </c>
      <c r="R351">
        <v>26.786000000000001</v>
      </c>
      <c r="S351">
        <v>73.213999999999999</v>
      </c>
      <c r="T351">
        <v>215.17</v>
      </c>
      <c r="U351">
        <v>0.22</v>
      </c>
      <c r="V351">
        <v>0</v>
      </c>
      <c r="W351">
        <v>2.1</v>
      </c>
      <c r="X351">
        <v>18.100000000000001</v>
      </c>
    </row>
    <row r="352" spans="1:24" x14ac:dyDescent="0.25">
      <c r="A352" t="s">
        <v>63</v>
      </c>
      <c r="B352" t="s">
        <v>38</v>
      </c>
      <c r="C352" t="s">
        <v>35</v>
      </c>
      <c r="D352">
        <v>2013</v>
      </c>
      <c r="E352">
        <v>5439057</v>
      </c>
      <c r="F352">
        <v>202349011206</v>
      </c>
      <c r="G352">
        <v>71.260000000000005</v>
      </c>
      <c r="H352">
        <v>86.97</v>
      </c>
      <c r="I352">
        <v>0.01</v>
      </c>
      <c r="J352">
        <v>0.77</v>
      </c>
      <c r="K352">
        <v>25.63</v>
      </c>
      <c r="L352">
        <v>12.84</v>
      </c>
      <c r="M352">
        <v>23.61</v>
      </c>
      <c r="N352">
        <v>22.02</v>
      </c>
      <c r="O352">
        <v>1.4E-2</v>
      </c>
      <c r="P352">
        <v>1.081</v>
      </c>
      <c r="Q352">
        <v>35.966999999999999</v>
      </c>
      <c r="R352">
        <v>30.901</v>
      </c>
      <c r="S352">
        <v>69.099000000000004</v>
      </c>
      <c r="T352">
        <v>257.64999999999998</v>
      </c>
      <c r="U352">
        <v>0.35</v>
      </c>
      <c r="V352">
        <v>0</v>
      </c>
      <c r="W352">
        <v>57.1</v>
      </c>
      <c r="X352">
        <v>-10.3</v>
      </c>
    </row>
    <row r="353" spans="1:25" x14ac:dyDescent="0.25">
      <c r="A353" t="s">
        <v>63</v>
      </c>
      <c r="B353" t="s">
        <v>38</v>
      </c>
      <c r="C353" t="s">
        <v>35</v>
      </c>
      <c r="D353">
        <v>2014</v>
      </c>
      <c r="E353">
        <v>5461686</v>
      </c>
      <c r="F353">
        <v>201610622550</v>
      </c>
      <c r="G353">
        <v>68.099999999999994</v>
      </c>
      <c r="H353">
        <v>86.07</v>
      </c>
      <c r="I353">
        <v>0.01</v>
      </c>
      <c r="J353">
        <v>1.1100000000000001</v>
      </c>
      <c r="K353">
        <v>26.28</v>
      </c>
      <c r="L353">
        <v>13.4</v>
      </c>
      <c r="M353">
        <v>23.58</v>
      </c>
      <c r="N353">
        <v>18.239999999999998</v>
      </c>
      <c r="O353">
        <v>1.4999999999999999E-2</v>
      </c>
      <c r="P353">
        <v>1.63</v>
      </c>
      <c r="Q353">
        <v>38.590000000000003</v>
      </c>
      <c r="R353">
        <v>26.783999999999999</v>
      </c>
      <c r="S353">
        <v>73.215999999999994</v>
      </c>
      <c r="T353">
        <v>226.43</v>
      </c>
      <c r="U353">
        <v>0.5</v>
      </c>
      <c r="V353">
        <v>0</v>
      </c>
      <c r="W353">
        <v>44.2</v>
      </c>
      <c r="X353">
        <v>2.5</v>
      </c>
    </row>
    <row r="354" spans="1:25" x14ac:dyDescent="0.25">
      <c r="A354" t="s">
        <v>63</v>
      </c>
      <c r="B354" t="s">
        <v>38</v>
      </c>
      <c r="C354" t="s">
        <v>35</v>
      </c>
      <c r="D354">
        <v>2015</v>
      </c>
      <c r="E354">
        <v>5479719</v>
      </c>
      <c r="F354">
        <v>202706706722</v>
      </c>
      <c r="G354">
        <v>68.61</v>
      </c>
      <c r="H354">
        <v>84.95</v>
      </c>
      <c r="I354">
        <v>0.01</v>
      </c>
      <c r="J354">
        <v>2.33</v>
      </c>
      <c r="K354">
        <v>30.53</v>
      </c>
      <c r="L354">
        <v>16.77</v>
      </c>
      <c r="M354">
        <v>23.25</v>
      </c>
      <c r="N354">
        <v>14.83</v>
      </c>
      <c r="O354">
        <v>1.4999999999999999E-2</v>
      </c>
      <c r="P354">
        <v>3.3959999999999999</v>
      </c>
      <c r="Q354">
        <v>44.497999999999998</v>
      </c>
      <c r="R354">
        <v>21.614999999999998</v>
      </c>
      <c r="S354">
        <v>78.385000000000005</v>
      </c>
      <c r="T354">
        <v>182.04</v>
      </c>
      <c r="U354">
        <v>1.05</v>
      </c>
      <c r="V354">
        <v>0</v>
      </c>
      <c r="W354">
        <v>109.9</v>
      </c>
      <c r="X354">
        <v>16.2</v>
      </c>
    </row>
    <row r="355" spans="1:25" x14ac:dyDescent="0.25">
      <c r="A355" t="s">
        <v>63</v>
      </c>
      <c r="B355" t="s">
        <v>38</v>
      </c>
      <c r="C355" t="s">
        <v>35</v>
      </c>
      <c r="D355">
        <v>2016</v>
      </c>
      <c r="E355">
        <v>5495468</v>
      </c>
      <c r="F355">
        <v>208405735062</v>
      </c>
      <c r="G355">
        <v>68.75</v>
      </c>
      <c r="H355">
        <v>87.7</v>
      </c>
      <c r="I355">
        <v>0.02</v>
      </c>
      <c r="J355">
        <v>3.07</v>
      </c>
      <c r="K355">
        <v>30.41</v>
      </c>
      <c r="L355">
        <v>15.8</v>
      </c>
      <c r="M355">
        <v>23.2</v>
      </c>
      <c r="N355">
        <v>15.14</v>
      </c>
      <c r="O355">
        <v>2.9000000000000001E-2</v>
      </c>
      <c r="P355">
        <v>4.4649999999999999</v>
      </c>
      <c r="Q355">
        <v>44.232999999999997</v>
      </c>
      <c r="R355">
        <v>22.021999999999998</v>
      </c>
      <c r="S355">
        <v>77.977999999999994</v>
      </c>
      <c r="T355">
        <v>199.56</v>
      </c>
      <c r="U355">
        <v>1.39</v>
      </c>
      <c r="V355">
        <v>100</v>
      </c>
      <c r="W355">
        <v>31.8</v>
      </c>
      <c r="X355">
        <v>-0.4</v>
      </c>
    </row>
    <row r="356" spans="1:25" x14ac:dyDescent="0.25">
      <c r="A356" t="s">
        <v>63</v>
      </c>
      <c r="B356" t="s">
        <v>38</v>
      </c>
      <c r="C356" t="s">
        <v>35</v>
      </c>
      <c r="D356">
        <v>2017</v>
      </c>
      <c r="E356">
        <v>5508398</v>
      </c>
      <c r="F356">
        <v>215058877437</v>
      </c>
      <c r="G356">
        <v>67.52</v>
      </c>
      <c r="H356">
        <v>87.95</v>
      </c>
      <c r="I356">
        <v>0.05</v>
      </c>
      <c r="J356">
        <v>4.79</v>
      </c>
      <c r="K356">
        <v>31.47</v>
      </c>
      <c r="L356">
        <v>14.77</v>
      </c>
      <c r="M356">
        <v>22.48</v>
      </c>
      <c r="N356">
        <v>13.57</v>
      </c>
      <c r="O356">
        <v>7.3999999999999996E-2</v>
      </c>
      <c r="P356">
        <v>7.0940000000000003</v>
      </c>
      <c r="Q356">
        <v>46.607999999999997</v>
      </c>
      <c r="R356">
        <v>20.097999999999999</v>
      </c>
      <c r="S356">
        <v>79.902000000000001</v>
      </c>
      <c r="T356">
        <v>186.17</v>
      </c>
      <c r="U356">
        <v>2.1800000000000002</v>
      </c>
      <c r="V356">
        <v>150</v>
      </c>
      <c r="W356">
        <v>56</v>
      </c>
      <c r="X356">
        <v>3.5</v>
      </c>
    </row>
    <row r="357" spans="1:25" x14ac:dyDescent="0.25">
      <c r="A357" t="s">
        <v>63</v>
      </c>
      <c r="B357" t="s">
        <v>38</v>
      </c>
      <c r="C357" t="s">
        <v>35</v>
      </c>
      <c r="D357">
        <v>2018</v>
      </c>
      <c r="E357">
        <v>5515730</v>
      </c>
      <c r="F357">
        <v>217509947213</v>
      </c>
      <c r="G357">
        <v>70.23</v>
      </c>
      <c r="H357">
        <v>90.17</v>
      </c>
      <c r="I357">
        <v>0.09</v>
      </c>
      <c r="J357">
        <v>5.84</v>
      </c>
      <c r="K357">
        <v>32.14</v>
      </c>
      <c r="L357">
        <v>13.3</v>
      </c>
      <c r="M357">
        <v>22.79</v>
      </c>
      <c r="N357">
        <v>15.3</v>
      </c>
      <c r="O357">
        <v>0.128</v>
      </c>
      <c r="P357">
        <v>8.3160000000000007</v>
      </c>
      <c r="Q357">
        <v>45.764000000000003</v>
      </c>
      <c r="R357">
        <v>21.786000000000001</v>
      </c>
      <c r="S357">
        <v>78.213999999999999</v>
      </c>
      <c r="T357">
        <v>193.37</v>
      </c>
      <c r="U357">
        <v>2.67</v>
      </c>
      <c r="V357">
        <v>80</v>
      </c>
      <c r="W357">
        <v>21.9</v>
      </c>
      <c r="X357">
        <v>2.1</v>
      </c>
    </row>
    <row r="358" spans="1:25" x14ac:dyDescent="0.25">
      <c r="A358" t="s">
        <v>63</v>
      </c>
      <c r="B358" t="s">
        <v>38</v>
      </c>
      <c r="C358" t="s">
        <v>35</v>
      </c>
      <c r="D358">
        <v>2019</v>
      </c>
      <c r="E358">
        <v>5521754</v>
      </c>
      <c r="F358">
        <v>220173891564</v>
      </c>
      <c r="G358">
        <v>68.61</v>
      </c>
      <c r="H358">
        <v>88.65</v>
      </c>
      <c r="I358">
        <v>0.15</v>
      </c>
      <c r="J358">
        <v>6.02</v>
      </c>
      <c r="K358">
        <v>31.88</v>
      </c>
      <c r="L358">
        <v>12.42</v>
      </c>
      <c r="M358">
        <v>23.87</v>
      </c>
      <c r="N358">
        <v>12.86</v>
      </c>
      <c r="O358">
        <v>0.219</v>
      </c>
      <c r="P358">
        <v>8.7739999999999991</v>
      </c>
      <c r="Q358">
        <v>46.466000000000001</v>
      </c>
      <c r="R358">
        <v>18.744</v>
      </c>
      <c r="S358">
        <v>81.256</v>
      </c>
      <c r="T358">
        <v>171.55</v>
      </c>
      <c r="U358">
        <v>2.78</v>
      </c>
      <c r="V358">
        <v>66.7</v>
      </c>
      <c r="W358">
        <v>3.1</v>
      </c>
      <c r="X358">
        <v>-0.8</v>
      </c>
    </row>
    <row r="359" spans="1:25" x14ac:dyDescent="0.25">
      <c r="A359" t="s">
        <v>63</v>
      </c>
      <c r="B359" t="s">
        <v>38</v>
      </c>
      <c r="C359" t="s">
        <v>35</v>
      </c>
      <c r="D359">
        <v>2020</v>
      </c>
      <c r="E359">
        <v>5529616</v>
      </c>
      <c r="F359">
        <v>214988893865</v>
      </c>
      <c r="G359">
        <v>69.239999999999995</v>
      </c>
      <c r="H359">
        <v>84.34</v>
      </c>
      <c r="I359">
        <v>0.22</v>
      </c>
      <c r="J359">
        <v>8.26</v>
      </c>
      <c r="K359">
        <v>35.93</v>
      </c>
      <c r="L359">
        <v>15.88</v>
      </c>
      <c r="M359">
        <v>23.29</v>
      </c>
      <c r="N359">
        <v>10.02</v>
      </c>
      <c r="O359">
        <v>0.318</v>
      </c>
      <c r="P359">
        <v>11.93</v>
      </c>
      <c r="Q359">
        <v>51.892000000000003</v>
      </c>
      <c r="R359">
        <v>14.471</v>
      </c>
      <c r="S359">
        <v>85.528999999999996</v>
      </c>
      <c r="T359">
        <v>130.27000000000001</v>
      </c>
      <c r="U359">
        <v>3.82</v>
      </c>
      <c r="V359">
        <v>46.7</v>
      </c>
      <c r="W359">
        <v>37.200000000000003</v>
      </c>
      <c r="X359">
        <v>12.7</v>
      </c>
    </row>
    <row r="360" spans="1:25" x14ac:dyDescent="0.25">
      <c r="A360" t="s">
        <v>63</v>
      </c>
      <c r="B360" t="s">
        <v>38</v>
      </c>
      <c r="C360" t="s">
        <v>35</v>
      </c>
      <c r="D360">
        <v>2021</v>
      </c>
      <c r="E360">
        <v>5541069</v>
      </c>
      <c r="F360">
        <v>221538476826</v>
      </c>
      <c r="G360">
        <v>72.11</v>
      </c>
      <c r="H360">
        <v>89.88</v>
      </c>
      <c r="I360">
        <v>0.3</v>
      </c>
      <c r="J360">
        <v>8.51</v>
      </c>
      <c r="K360">
        <v>38.18</v>
      </c>
      <c r="L360">
        <v>15.79</v>
      </c>
      <c r="M360">
        <v>23.6</v>
      </c>
      <c r="N360">
        <v>10.33</v>
      </c>
      <c r="O360">
        <v>0.41599999999999998</v>
      </c>
      <c r="P360">
        <v>11.801</v>
      </c>
      <c r="Q360">
        <v>52.947000000000003</v>
      </c>
      <c r="R360">
        <v>14.324999999999999</v>
      </c>
      <c r="S360">
        <v>85.674999999999997</v>
      </c>
      <c r="T360">
        <v>135.63</v>
      </c>
      <c r="U360">
        <v>3.96</v>
      </c>
      <c r="V360">
        <v>36.4</v>
      </c>
      <c r="W360">
        <v>3</v>
      </c>
      <c r="X360">
        <v>6.3</v>
      </c>
    </row>
    <row r="361" spans="1:25" x14ac:dyDescent="0.25">
      <c r="A361" t="s">
        <v>63</v>
      </c>
      <c r="B361" t="s">
        <v>38</v>
      </c>
      <c r="C361" t="s">
        <v>35</v>
      </c>
      <c r="D361">
        <v>2022</v>
      </c>
      <c r="E361">
        <v>5569300</v>
      </c>
      <c r="F361">
        <v>226154847456</v>
      </c>
      <c r="G361">
        <v>72.17</v>
      </c>
      <c r="H361">
        <v>84.69</v>
      </c>
      <c r="I361">
        <v>0.39</v>
      </c>
      <c r="J361">
        <v>12.02</v>
      </c>
      <c r="K361">
        <v>38.659999999999997</v>
      </c>
      <c r="L361">
        <v>13.49</v>
      </c>
      <c r="M361">
        <v>25.34</v>
      </c>
      <c r="N361">
        <v>8.17</v>
      </c>
      <c r="O361">
        <v>0.54</v>
      </c>
      <c r="P361">
        <v>16.655000000000001</v>
      </c>
      <c r="Q361">
        <v>53.567999999999998</v>
      </c>
      <c r="R361">
        <v>11.32</v>
      </c>
      <c r="S361">
        <v>88.68</v>
      </c>
      <c r="T361">
        <v>129.97</v>
      </c>
      <c r="U361">
        <v>5.58</v>
      </c>
      <c r="V361">
        <v>30</v>
      </c>
      <c r="W361">
        <v>41.2</v>
      </c>
      <c r="X361">
        <v>1.3</v>
      </c>
      <c r="Y361" t="s">
        <v>64</v>
      </c>
    </row>
    <row r="362" spans="1:25" x14ac:dyDescent="0.25">
      <c r="A362" t="s">
        <v>63</v>
      </c>
      <c r="B362" t="s">
        <v>38</v>
      </c>
      <c r="C362" t="s">
        <v>35</v>
      </c>
      <c r="D362">
        <v>2023</v>
      </c>
      <c r="E362">
        <v>5601185</v>
      </c>
      <c r="G362">
        <v>81.52</v>
      </c>
      <c r="H362">
        <v>83.24</v>
      </c>
      <c r="I362">
        <v>0.72</v>
      </c>
      <c r="J362">
        <v>15.04</v>
      </c>
      <c r="K362">
        <v>42.3</v>
      </c>
      <c r="L362">
        <v>15.2</v>
      </c>
      <c r="M362">
        <v>34.31</v>
      </c>
      <c r="N362">
        <v>4.91</v>
      </c>
      <c r="O362">
        <v>0.88300000000000001</v>
      </c>
      <c r="P362">
        <v>18.449000000000002</v>
      </c>
      <c r="Q362">
        <v>51.889000000000003</v>
      </c>
      <c r="R362">
        <v>6.0229999999999997</v>
      </c>
      <c r="S362">
        <v>93.977000000000004</v>
      </c>
      <c r="T362">
        <v>81.209999999999994</v>
      </c>
      <c r="U362">
        <v>7.09</v>
      </c>
      <c r="V362">
        <v>84.6</v>
      </c>
      <c r="W362">
        <v>25.1</v>
      </c>
      <c r="X362">
        <v>9.4</v>
      </c>
    </row>
    <row r="363" spans="1:25" x14ac:dyDescent="0.25">
      <c r="A363" t="s">
        <v>63</v>
      </c>
      <c r="B363" t="s">
        <v>38</v>
      </c>
      <c r="C363" t="s">
        <v>35</v>
      </c>
      <c r="D363">
        <v>2024</v>
      </c>
      <c r="E363">
        <v>5617311</v>
      </c>
      <c r="G363">
        <v>82.55</v>
      </c>
      <c r="H363">
        <v>85.73</v>
      </c>
      <c r="I363">
        <v>0.94</v>
      </c>
      <c r="J363">
        <v>20.48</v>
      </c>
      <c r="K363">
        <v>46.11</v>
      </c>
      <c r="L363">
        <v>14.3</v>
      </c>
      <c r="M363">
        <v>32.6</v>
      </c>
      <c r="N363">
        <v>3.84</v>
      </c>
      <c r="O363">
        <v>1.139</v>
      </c>
      <c r="P363">
        <v>24.809000000000001</v>
      </c>
      <c r="Q363">
        <v>55.856999999999999</v>
      </c>
      <c r="R363">
        <v>4.6520000000000001</v>
      </c>
      <c r="S363">
        <v>95.347999999999999</v>
      </c>
      <c r="T363">
        <v>66.63</v>
      </c>
      <c r="U363">
        <v>9.64</v>
      </c>
      <c r="V363">
        <v>30.6</v>
      </c>
      <c r="W363">
        <v>36.200000000000003</v>
      </c>
      <c r="X363">
        <v>9</v>
      </c>
    </row>
    <row r="364" spans="1:25" x14ac:dyDescent="0.25">
      <c r="A364" t="s">
        <v>63</v>
      </c>
      <c r="B364" t="s">
        <v>38</v>
      </c>
      <c r="C364" t="s">
        <v>35</v>
      </c>
      <c r="D364">
        <v>2025</v>
      </c>
      <c r="E364">
        <v>5623328</v>
      </c>
      <c r="G364">
        <v>82.3</v>
      </c>
      <c r="H364">
        <v>87.78</v>
      </c>
      <c r="I364">
        <v>0.98</v>
      </c>
      <c r="J364">
        <v>22.58</v>
      </c>
      <c r="K364">
        <v>46.47</v>
      </c>
      <c r="L364">
        <v>12.44</v>
      </c>
      <c r="M364">
        <v>32.82</v>
      </c>
      <c r="N364">
        <v>3.01</v>
      </c>
      <c r="O364">
        <v>1.1910000000000001</v>
      </c>
      <c r="P364">
        <v>27.436</v>
      </c>
      <c r="Q364">
        <v>56.463999999999999</v>
      </c>
      <c r="R364">
        <v>3.657</v>
      </c>
      <c r="S364">
        <v>96.343000000000004</v>
      </c>
      <c r="T364">
        <v>57.47</v>
      </c>
      <c r="U364">
        <v>10.6</v>
      </c>
      <c r="V364">
        <v>4.3</v>
      </c>
      <c r="W364">
        <v>10.3</v>
      </c>
      <c r="X364">
        <v>0.8</v>
      </c>
    </row>
    <row r="365" spans="1:25" x14ac:dyDescent="0.25">
      <c r="A365" t="s">
        <v>65</v>
      </c>
      <c r="B365" t="s">
        <v>38</v>
      </c>
      <c r="C365" t="s">
        <v>35</v>
      </c>
      <c r="D365">
        <v>2000</v>
      </c>
      <c r="E365">
        <v>59483716</v>
      </c>
      <c r="F365">
        <v>2031676031476</v>
      </c>
      <c r="G365">
        <v>532.55999999999995</v>
      </c>
      <c r="H365">
        <v>463.08</v>
      </c>
      <c r="I365">
        <v>0.01</v>
      </c>
      <c r="J365">
        <v>0.05</v>
      </c>
      <c r="K365">
        <v>67.83</v>
      </c>
      <c r="L365">
        <v>64.78</v>
      </c>
      <c r="M365">
        <v>415.16</v>
      </c>
      <c r="N365">
        <v>49.57</v>
      </c>
      <c r="O365">
        <v>2E-3</v>
      </c>
      <c r="P365">
        <v>8.9999999999999993E-3</v>
      </c>
      <c r="Q365">
        <v>12.737</v>
      </c>
      <c r="R365">
        <v>9.3079999999999998</v>
      </c>
      <c r="S365">
        <v>90.691999999999993</v>
      </c>
      <c r="T365">
        <v>79.77</v>
      </c>
      <c r="U365">
        <v>0.03</v>
      </c>
    </row>
    <row r="366" spans="1:25" x14ac:dyDescent="0.25">
      <c r="A366" t="s">
        <v>65</v>
      </c>
      <c r="B366" t="s">
        <v>38</v>
      </c>
      <c r="C366" t="s">
        <v>35</v>
      </c>
      <c r="D366">
        <v>2001</v>
      </c>
      <c r="E366">
        <v>59905131</v>
      </c>
      <c r="F366">
        <v>2077786711965</v>
      </c>
      <c r="G366">
        <v>542.6</v>
      </c>
      <c r="H366">
        <v>474.21</v>
      </c>
      <c r="I366">
        <v>0.01</v>
      </c>
      <c r="J366">
        <v>0.13</v>
      </c>
      <c r="K366">
        <v>76.09</v>
      </c>
      <c r="L366">
        <v>72.62</v>
      </c>
      <c r="M366">
        <v>421.08</v>
      </c>
      <c r="N366">
        <v>45.43</v>
      </c>
      <c r="O366">
        <v>2E-3</v>
      </c>
      <c r="P366">
        <v>2.4E-2</v>
      </c>
      <c r="Q366">
        <v>14.023</v>
      </c>
      <c r="R366">
        <v>8.3729999999999993</v>
      </c>
      <c r="S366">
        <v>91.626999999999995</v>
      </c>
      <c r="T366">
        <v>68.63</v>
      </c>
      <c r="U366">
        <v>0.06</v>
      </c>
      <c r="V366">
        <v>0</v>
      </c>
      <c r="W366">
        <v>160</v>
      </c>
      <c r="X366">
        <v>12.2</v>
      </c>
    </row>
    <row r="367" spans="1:25" x14ac:dyDescent="0.25">
      <c r="A367" t="s">
        <v>65</v>
      </c>
      <c r="B367" t="s">
        <v>38</v>
      </c>
      <c r="C367" t="s">
        <v>35</v>
      </c>
      <c r="D367">
        <v>2002</v>
      </c>
      <c r="E367">
        <v>60327247</v>
      </c>
      <c r="F367">
        <v>2107316572579</v>
      </c>
      <c r="G367">
        <v>551.24</v>
      </c>
      <c r="H367">
        <v>474.21</v>
      </c>
      <c r="I367">
        <v>0.01</v>
      </c>
      <c r="J367">
        <v>0.27</v>
      </c>
      <c r="K367">
        <v>62.69</v>
      </c>
      <c r="L367">
        <v>58.88</v>
      </c>
      <c r="M367">
        <v>436.76</v>
      </c>
      <c r="N367">
        <v>51.79</v>
      </c>
      <c r="O367">
        <v>2E-3</v>
      </c>
      <c r="P367">
        <v>4.9000000000000002E-2</v>
      </c>
      <c r="Q367">
        <v>11.372999999999999</v>
      </c>
      <c r="R367">
        <v>9.3949999999999996</v>
      </c>
      <c r="S367">
        <v>90.605000000000004</v>
      </c>
      <c r="T367">
        <v>75.209999999999994</v>
      </c>
      <c r="U367">
        <v>0.13</v>
      </c>
      <c r="V367">
        <v>0</v>
      </c>
      <c r="W367">
        <v>107.7</v>
      </c>
      <c r="X367">
        <v>-17.600000000000001</v>
      </c>
    </row>
    <row r="368" spans="1:25" x14ac:dyDescent="0.25">
      <c r="A368" t="s">
        <v>65</v>
      </c>
      <c r="B368" t="s">
        <v>38</v>
      </c>
      <c r="C368" t="s">
        <v>35</v>
      </c>
      <c r="D368">
        <v>2003</v>
      </c>
      <c r="E368">
        <v>60741119</v>
      </c>
      <c r="F368">
        <v>2130940712046</v>
      </c>
      <c r="G368">
        <v>559.13</v>
      </c>
      <c r="H368">
        <v>492.72</v>
      </c>
      <c r="I368">
        <v>0.01</v>
      </c>
      <c r="J368">
        <v>0.39</v>
      </c>
      <c r="K368">
        <v>61.47</v>
      </c>
      <c r="L368">
        <v>57.35</v>
      </c>
      <c r="M368">
        <v>441.07</v>
      </c>
      <c r="N368">
        <v>56.59</v>
      </c>
      <c r="O368">
        <v>2E-3</v>
      </c>
      <c r="P368">
        <v>7.0000000000000007E-2</v>
      </c>
      <c r="Q368">
        <v>10.994</v>
      </c>
      <c r="R368">
        <v>10.121</v>
      </c>
      <c r="S368">
        <v>89.879000000000005</v>
      </c>
      <c r="T368">
        <v>80.86</v>
      </c>
      <c r="U368">
        <v>0.18</v>
      </c>
      <c r="V368">
        <v>0</v>
      </c>
      <c r="W368">
        <v>44.4</v>
      </c>
      <c r="X368">
        <v>-1.9</v>
      </c>
    </row>
    <row r="369" spans="1:25" x14ac:dyDescent="0.25">
      <c r="A369" t="s">
        <v>65</v>
      </c>
      <c r="B369" t="s">
        <v>38</v>
      </c>
      <c r="C369" t="s">
        <v>35</v>
      </c>
      <c r="D369">
        <v>2004</v>
      </c>
      <c r="E369">
        <v>61175244</v>
      </c>
      <c r="F369">
        <v>2196883540402</v>
      </c>
      <c r="G369">
        <v>566.29999999999995</v>
      </c>
      <c r="H369">
        <v>504.39</v>
      </c>
      <c r="I369">
        <v>0.01</v>
      </c>
      <c r="J369">
        <v>0.59</v>
      </c>
      <c r="K369">
        <v>62.42</v>
      </c>
      <c r="L369">
        <v>58.04</v>
      </c>
      <c r="M369">
        <v>448.24</v>
      </c>
      <c r="N369">
        <v>55.64</v>
      </c>
      <c r="O369">
        <v>2E-3</v>
      </c>
      <c r="P369">
        <v>0.104</v>
      </c>
      <c r="Q369">
        <v>11.022</v>
      </c>
      <c r="R369">
        <v>9.8249999999999993</v>
      </c>
      <c r="S369">
        <v>90.174999999999997</v>
      </c>
      <c r="T369">
        <v>77.19</v>
      </c>
      <c r="U369">
        <v>0.27</v>
      </c>
      <c r="V369">
        <v>0</v>
      </c>
      <c r="W369">
        <v>51.3</v>
      </c>
      <c r="X369">
        <v>1.5</v>
      </c>
    </row>
    <row r="370" spans="1:25" x14ac:dyDescent="0.25">
      <c r="A370" t="s">
        <v>65</v>
      </c>
      <c r="B370" t="s">
        <v>38</v>
      </c>
      <c r="C370" t="s">
        <v>35</v>
      </c>
      <c r="D370">
        <v>2005</v>
      </c>
      <c r="E370">
        <v>61625031</v>
      </c>
      <c r="F370">
        <v>2238790479440</v>
      </c>
      <c r="G370">
        <v>569.14</v>
      </c>
      <c r="H370">
        <v>508.81</v>
      </c>
      <c r="I370">
        <v>0.01</v>
      </c>
      <c r="J370">
        <v>0.96</v>
      </c>
      <c r="K370">
        <v>54.98</v>
      </c>
      <c r="L370">
        <v>50.14</v>
      </c>
      <c r="M370">
        <v>451.53</v>
      </c>
      <c r="N370">
        <v>62.63</v>
      </c>
      <c r="O370">
        <v>2E-3</v>
      </c>
      <c r="P370">
        <v>0.16900000000000001</v>
      </c>
      <c r="Q370">
        <v>9.66</v>
      </c>
      <c r="R370">
        <v>11.004</v>
      </c>
      <c r="S370">
        <v>88.995999999999995</v>
      </c>
      <c r="T370">
        <v>85.53</v>
      </c>
      <c r="U370">
        <v>0.44</v>
      </c>
      <c r="V370">
        <v>0</v>
      </c>
      <c r="W370">
        <v>62.7</v>
      </c>
      <c r="X370">
        <v>-11.9</v>
      </c>
    </row>
    <row r="371" spans="1:25" x14ac:dyDescent="0.25">
      <c r="A371" t="s">
        <v>65</v>
      </c>
      <c r="B371" t="s">
        <v>38</v>
      </c>
      <c r="C371" t="s">
        <v>35</v>
      </c>
      <c r="D371">
        <v>2006</v>
      </c>
      <c r="E371">
        <v>62049831</v>
      </c>
      <c r="F371">
        <v>2297018080700</v>
      </c>
      <c r="G371">
        <v>567.29999999999995</v>
      </c>
      <c r="H371">
        <v>503.96</v>
      </c>
      <c r="I371">
        <v>0.01</v>
      </c>
      <c r="J371">
        <v>2.1800000000000002</v>
      </c>
      <c r="K371">
        <v>60.91</v>
      </c>
      <c r="L371">
        <v>54.88</v>
      </c>
      <c r="M371">
        <v>450.19</v>
      </c>
      <c r="N371">
        <v>56.2</v>
      </c>
      <c r="O371">
        <v>2E-3</v>
      </c>
      <c r="P371">
        <v>0.38400000000000001</v>
      </c>
      <c r="Q371">
        <v>10.737</v>
      </c>
      <c r="R371">
        <v>9.907</v>
      </c>
      <c r="S371">
        <v>90.093000000000004</v>
      </c>
      <c r="T371">
        <v>76.569999999999993</v>
      </c>
      <c r="U371">
        <v>0.99</v>
      </c>
      <c r="V371">
        <v>0</v>
      </c>
      <c r="W371">
        <v>127.1</v>
      </c>
      <c r="X371">
        <v>10.8</v>
      </c>
    </row>
    <row r="372" spans="1:25" x14ac:dyDescent="0.25">
      <c r="A372" t="s">
        <v>65</v>
      </c>
      <c r="B372" t="s">
        <v>38</v>
      </c>
      <c r="C372" t="s">
        <v>35</v>
      </c>
      <c r="D372">
        <v>2007</v>
      </c>
      <c r="E372">
        <v>62432438</v>
      </c>
      <c r="F372">
        <v>2354672057875</v>
      </c>
      <c r="G372">
        <v>561.84</v>
      </c>
      <c r="H372">
        <v>505.03</v>
      </c>
      <c r="I372">
        <v>0.02</v>
      </c>
      <c r="J372">
        <v>4.07</v>
      </c>
      <c r="K372">
        <v>64.3</v>
      </c>
      <c r="L372">
        <v>55.99</v>
      </c>
      <c r="M372">
        <v>439.73</v>
      </c>
      <c r="N372">
        <v>57.81</v>
      </c>
      <c r="O372">
        <v>4.0000000000000001E-3</v>
      </c>
      <c r="P372">
        <v>0.72399999999999998</v>
      </c>
      <c r="Q372">
        <v>11.445</v>
      </c>
      <c r="R372">
        <v>10.289</v>
      </c>
      <c r="S372">
        <v>89.710999999999999</v>
      </c>
      <c r="T372">
        <v>80.11</v>
      </c>
      <c r="U372">
        <v>1.84</v>
      </c>
      <c r="V372">
        <v>100</v>
      </c>
      <c r="W372">
        <v>86.7</v>
      </c>
      <c r="X372">
        <v>5.6</v>
      </c>
    </row>
    <row r="373" spans="1:25" x14ac:dyDescent="0.25">
      <c r="A373" t="s">
        <v>65</v>
      </c>
      <c r="B373" t="s">
        <v>38</v>
      </c>
      <c r="C373" t="s">
        <v>35</v>
      </c>
      <c r="D373">
        <v>2008</v>
      </c>
      <c r="E373">
        <v>62780187</v>
      </c>
      <c r="F373">
        <v>2362451821701</v>
      </c>
      <c r="G373">
        <v>566.98</v>
      </c>
      <c r="H373">
        <v>518.99</v>
      </c>
      <c r="I373">
        <v>0.04</v>
      </c>
      <c r="J373">
        <v>5.69</v>
      </c>
      <c r="K373">
        <v>72.33</v>
      </c>
      <c r="L373">
        <v>62.16</v>
      </c>
      <c r="M373">
        <v>439.45</v>
      </c>
      <c r="N373">
        <v>55.2</v>
      </c>
      <c r="O373">
        <v>7.0000000000000001E-3</v>
      </c>
      <c r="P373">
        <v>1.004</v>
      </c>
      <c r="Q373">
        <v>12.757</v>
      </c>
      <c r="R373">
        <v>9.7360000000000007</v>
      </c>
      <c r="S373">
        <v>90.263999999999996</v>
      </c>
      <c r="T373">
        <v>76.03</v>
      </c>
      <c r="U373">
        <v>2.58</v>
      </c>
      <c r="V373">
        <v>100</v>
      </c>
      <c r="W373">
        <v>39.799999999999997</v>
      </c>
      <c r="X373">
        <v>12.5</v>
      </c>
    </row>
    <row r="374" spans="1:25" x14ac:dyDescent="0.25">
      <c r="A374" t="s">
        <v>65</v>
      </c>
      <c r="B374" t="s">
        <v>38</v>
      </c>
      <c r="C374" t="s">
        <v>35</v>
      </c>
      <c r="D374">
        <v>2009</v>
      </c>
      <c r="E374">
        <v>63106460</v>
      </c>
      <c r="F374">
        <v>2295352990111</v>
      </c>
      <c r="G374">
        <v>528.87</v>
      </c>
      <c r="H374">
        <v>502.94</v>
      </c>
      <c r="I374">
        <v>0.17</v>
      </c>
      <c r="J374">
        <v>7.91</v>
      </c>
      <c r="K374">
        <v>68.150000000000006</v>
      </c>
      <c r="L374">
        <v>55.49</v>
      </c>
      <c r="M374">
        <v>409.74</v>
      </c>
      <c r="N374">
        <v>50.98</v>
      </c>
      <c r="O374">
        <v>3.2000000000000001E-2</v>
      </c>
      <c r="P374">
        <v>1.496</v>
      </c>
      <c r="Q374">
        <v>12.885999999999999</v>
      </c>
      <c r="R374">
        <v>9.6389999999999993</v>
      </c>
      <c r="S374">
        <v>90.361000000000004</v>
      </c>
      <c r="T374">
        <v>75.599999999999994</v>
      </c>
      <c r="U374">
        <v>3.64</v>
      </c>
      <c r="V374">
        <v>325</v>
      </c>
      <c r="W374">
        <v>39</v>
      </c>
      <c r="X374">
        <v>-5.8</v>
      </c>
    </row>
    <row r="375" spans="1:25" x14ac:dyDescent="0.25">
      <c r="A375" t="s">
        <v>65</v>
      </c>
      <c r="B375" t="s">
        <v>38</v>
      </c>
      <c r="C375" t="s">
        <v>35</v>
      </c>
      <c r="D375">
        <v>2010</v>
      </c>
      <c r="E375">
        <v>63417366</v>
      </c>
      <c r="F375">
        <v>2342490492199</v>
      </c>
      <c r="G375">
        <v>562.36</v>
      </c>
      <c r="H375">
        <v>531.65</v>
      </c>
      <c r="I375">
        <v>0.62</v>
      </c>
      <c r="J375">
        <v>9.94</v>
      </c>
      <c r="K375">
        <v>76.680000000000007</v>
      </c>
      <c r="L375">
        <v>61.2</v>
      </c>
      <c r="M375">
        <v>428.52</v>
      </c>
      <c r="N375">
        <v>57.16</v>
      </c>
      <c r="O375">
        <v>0.11</v>
      </c>
      <c r="P375">
        <v>1.768</v>
      </c>
      <c r="Q375">
        <v>13.635</v>
      </c>
      <c r="R375">
        <v>10.164</v>
      </c>
      <c r="S375">
        <v>89.835999999999999</v>
      </c>
      <c r="T375">
        <v>78.56</v>
      </c>
      <c r="U375">
        <v>4.75</v>
      </c>
      <c r="V375">
        <v>264.7</v>
      </c>
      <c r="W375">
        <v>25.7</v>
      </c>
      <c r="X375">
        <v>12.5</v>
      </c>
    </row>
    <row r="376" spans="1:25" x14ac:dyDescent="0.25">
      <c r="A376" t="s">
        <v>65</v>
      </c>
      <c r="B376" t="s">
        <v>38</v>
      </c>
      <c r="C376" t="s">
        <v>35</v>
      </c>
      <c r="D376">
        <v>2011</v>
      </c>
      <c r="E376">
        <v>63733776</v>
      </c>
      <c r="F376">
        <v>2393401943613</v>
      </c>
      <c r="G376">
        <v>567.65</v>
      </c>
      <c r="H376">
        <v>511.24</v>
      </c>
      <c r="I376">
        <v>2.33</v>
      </c>
      <c r="J376">
        <v>12.37</v>
      </c>
      <c r="K376">
        <v>66.02</v>
      </c>
      <c r="L376">
        <v>45.74</v>
      </c>
      <c r="M376">
        <v>442.39</v>
      </c>
      <c r="N376">
        <v>59.24</v>
      </c>
      <c r="O376">
        <v>0.41</v>
      </c>
      <c r="P376">
        <v>2.1789999999999998</v>
      </c>
      <c r="Q376">
        <v>11.63</v>
      </c>
      <c r="R376">
        <v>10.436</v>
      </c>
      <c r="S376">
        <v>89.563999999999993</v>
      </c>
      <c r="T376">
        <v>74.62</v>
      </c>
      <c r="U376">
        <v>6.62</v>
      </c>
      <c r="V376">
        <v>275.8</v>
      </c>
      <c r="W376">
        <v>24.4</v>
      </c>
      <c r="X376">
        <v>-13.9</v>
      </c>
    </row>
    <row r="377" spans="1:25" x14ac:dyDescent="0.25">
      <c r="A377" t="s">
        <v>65</v>
      </c>
      <c r="B377" t="s">
        <v>38</v>
      </c>
      <c r="C377" t="s">
        <v>35</v>
      </c>
      <c r="D377">
        <v>2012</v>
      </c>
      <c r="E377">
        <v>64058465</v>
      </c>
      <c r="F377">
        <v>2400896391731</v>
      </c>
      <c r="G377">
        <v>567.58000000000004</v>
      </c>
      <c r="H377">
        <v>523.05999999999995</v>
      </c>
      <c r="I377">
        <v>4.43</v>
      </c>
      <c r="J377">
        <v>15.18</v>
      </c>
      <c r="K377">
        <v>85.25</v>
      </c>
      <c r="L377">
        <v>59.83</v>
      </c>
      <c r="M377">
        <v>425.41</v>
      </c>
      <c r="N377">
        <v>56.92</v>
      </c>
      <c r="O377">
        <v>0.78100000000000003</v>
      </c>
      <c r="P377">
        <v>2.6749999999999998</v>
      </c>
      <c r="Q377">
        <v>15.02</v>
      </c>
      <c r="R377">
        <v>10.029</v>
      </c>
      <c r="S377">
        <v>89.971000000000004</v>
      </c>
      <c r="T377">
        <v>77.59</v>
      </c>
      <c r="U377">
        <v>8.82</v>
      </c>
      <c r="V377">
        <v>90.1</v>
      </c>
      <c r="W377">
        <v>22.7</v>
      </c>
      <c r="X377">
        <v>29.1</v>
      </c>
    </row>
    <row r="378" spans="1:25" x14ac:dyDescent="0.25">
      <c r="A378" t="s">
        <v>65</v>
      </c>
      <c r="B378" t="s">
        <v>38</v>
      </c>
      <c r="C378" t="s">
        <v>35</v>
      </c>
      <c r="D378">
        <v>2013</v>
      </c>
      <c r="E378">
        <v>64387736</v>
      </c>
      <c r="F378">
        <v>2414733629218</v>
      </c>
      <c r="G378">
        <v>576.75</v>
      </c>
      <c r="H378">
        <v>528.29</v>
      </c>
      <c r="I378">
        <v>5.19</v>
      </c>
      <c r="J378">
        <v>16.14</v>
      </c>
      <c r="K378">
        <v>99.43</v>
      </c>
      <c r="L378">
        <v>71.92</v>
      </c>
      <c r="M378">
        <v>423.68</v>
      </c>
      <c r="N378">
        <v>53.64</v>
      </c>
      <c r="O378">
        <v>0.9</v>
      </c>
      <c r="P378">
        <v>2.798</v>
      </c>
      <c r="Q378">
        <v>17.239999999999998</v>
      </c>
      <c r="R378">
        <v>9.3000000000000007</v>
      </c>
      <c r="S378">
        <v>90.7</v>
      </c>
      <c r="T378">
        <v>76.290000000000006</v>
      </c>
      <c r="U378">
        <v>9.6</v>
      </c>
      <c r="V378">
        <v>17.2</v>
      </c>
      <c r="W378">
        <v>6.3</v>
      </c>
      <c r="X378">
        <v>16.600000000000001</v>
      </c>
    </row>
    <row r="379" spans="1:25" x14ac:dyDescent="0.25">
      <c r="A379" t="s">
        <v>65</v>
      </c>
      <c r="B379" t="s">
        <v>38</v>
      </c>
      <c r="C379" t="s">
        <v>35</v>
      </c>
      <c r="D379">
        <v>2014</v>
      </c>
      <c r="E379">
        <v>64692495</v>
      </c>
      <c r="F379">
        <v>2437822780219</v>
      </c>
      <c r="G379">
        <v>566.30999999999995</v>
      </c>
      <c r="H379">
        <v>499.12</v>
      </c>
      <c r="I379">
        <v>6.39</v>
      </c>
      <c r="J379">
        <v>17.32</v>
      </c>
      <c r="K379">
        <v>94.03</v>
      </c>
      <c r="L379">
        <v>63.77</v>
      </c>
      <c r="M379">
        <v>436.48</v>
      </c>
      <c r="N379">
        <v>35.799999999999997</v>
      </c>
      <c r="O379">
        <v>1.1279999999999999</v>
      </c>
      <c r="P379">
        <v>3.0579999999999998</v>
      </c>
      <c r="Q379">
        <v>16.603999999999999</v>
      </c>
      <c r="R379">
        <v>6.3220000000000001</v>
      </c>
      <c r="S379">
        <v>93.677999999999997</v>
      </c>
      <c r="T379">
        <v>52.22</v>
      </c>
      <c r="U379">
        <v>10.67</v>
      </c>
      <c r="V379">
        <v>23.1</v>
      </c>
      <c r="W379">
        <v>7.3</v>
      </c>
      <c r="X379">
        <v>-5.4</v>
      </c>
    </row>
    <row r="380" spans="1:25" x14ac:dyDescent="0.25">
      <c r="A380" t="s">
        <v>65</v>
      </c>
      <c r="B380" t="s">
        <v>38</v>
      </c>
      <c r="C380" t="s">
        <v>35</v>
      </c>
      <c r="D380">
        <v>2015</v>
      </c>
      <c r="E380">
        <v>64916337</v>
      </c>
      <c r="F380">
        <v>2464953810985</v>
      </c>
      <c r="G380">
        <v>574.14</v>
      </c>
      <c r="H380">
        <v>510.08</v>
      </c>
      <c r="I380">
        <v>7.75</v>
      </c>
      <c r="J380">
        <v>21.42</v>
      </c>
      <c r="K380">
        <v>91.84</v>
      </c>
      <c r="L380">
        <v>55.56</v>
      </c>
      <c r="M380">
        <v>437.43</v>
      </c>
      <c r="N380">
        <v>44.87</v>
      </c>
      <c r="O380">
        <v>1.35</v>
      </c>
      <c r="P380">
        <v>3.7309999999999999</v>
      </c>
      <c r="Q380">
        <v>15.996</v>
      </c>
      <c r="R380">
        <v>7.8150000000000004</v>
      </c>
      <c r="S380">
        <v>92.185000000000002</v>
      </c>
      <c r="T380">
        <v>59.17</v>
      </c>
      <c r="U380">
        <v>13.13</v>
      </c>
      <c r="V380">
        <v>21.3</v>
      </c>
      <c r="W380">
        <v>23.7</v>
      </c>
      <c r="X380">
        <v>-2.2999999999999998</v>
      </c>
      <c r="Y380" t="s">
        <v>66</v>
      </c>
    </row>
    <row r="381" spans="1:25" x14ac:dyDescent="0.25">
      <c r="A381" t="s">
        <v>65</v>
      </c>
      <c r="B381" t="s">
        <v>38</v>
      </c>
      <c r="C381" t="s">
        <v>35</v>
      </c>
      <c r="D381">
        <v>2016</v>
      </c>
      <c r="E381">
        <v>65086853</v>
      </c>
      <c r="F381">
        <v>2491956183265</v>
      </c>
      <c r="G381">
        <v>558.84</v>
      </c>
      <c r="H381">
        <v>517.34</v>
      </c>
      <c r="I381">
        <v>8.66</v>
      </c>
      <c r="J381">
        <v>21.38</v>
      </c>
      <c r="K381">
        <v>99</v>
      </c>
      <c r="L381">
        <v>60.84</v>
      </c>
      <c r="M381">
        <v>403.2</v>
      </c>
      <c r="N381">
        <v>56.64</v>
      </c>
      <c r="O381">
        <v>1.55</v>
      </c>
      <c r="P381">
        <v>3.8260000000000001</v>
      </c>
      <c r="Q381">
        <v>17.715</v>
      </c>
      <c r="R381">
        <v>10.135</v>
      </c>
      <c r="S381">
        <v>89.864999999999995</v>
      </c>
      <c r="T381">
        <v>68.62</v>
      </c>
      <c r="U381">
        <v>13.52</v>
      </c>
      <c r="V381">
        <v>11.7</v>
      </c>
      <c r="W381">
        <v>-0.2</v>
      </c>
      <c r="X381">
        <v>7.8</v>
      </c>
    </row>
    <row r="382" spans="1:25" x14ac:dyDescent="0.25">
      <c r="A382" t="s">
        <v>65</v>
      </c>
      <c r="B382" t="s">
        <v>38</v>
      </c>
      <c r="C382" t="s">
        <v>35</v>
      </c>
      <c r="D382">
        <v>2017</v>
      </c>
      <c r="E382">
        <v>65284775</v>
      </c>
      <c r="F382">
        <v>2549057506683</v>
      </c>
      <c r="G382">
        <v>555.74</v>
      </c>
      <c r="H382">
        <v>515.61</v>
      </c>
      <c r="I382">
        <v>8.8699999999999992</v>
      </c>
      <c r="J382">
        <v>24.61</v>
      </c>
      <c r="K382">
        <v>91.91</v>
      </c>
      <c r="L382">
        <v>50</v>
      </c>
      <c r="M382">
        <v>398.36</v>
      </c>
      <c r="N382">
        <v>65.47</v>
      </c>
      <c r="O382">
        <v>1.5960000000000001</v>
      </c>
      <c r="P382">
        <v>4.4279999999999999</v>
      </c>
      <c r="Q382">
        <v>16.538</v>
      </c>
      <c r="R382">
        <v>11.781000000000001</v>
      </c>
      <c r="S382">
        <v>88.218999999999994</v>
      </c>
      <c r="T382">
        <v>78.31</v>
      </c>
      <c r="U382">
        <v>15.07</v>
      </c>
      <c r="V382">
        <v>2.4</v>
      </c>
      <c r="W382">
        <v>15.1</v>
      </c>
      <c r="X382">
        <v>-7.2</v>
      </c>
    </row>
    <row r="383" spans="1:25" x14ac:dyDescent="0.25">
      <c r="A383" t="s">
        <v>65</v>
      </c>
      <c r="B383" t="s">
        <v>38</v>
      </c>
      <c r="C383" t="s">
        <v>35</v>
      </c>
      <c r="D383">
        <v>2018</v>
      </c>
      <c r="E383">
        <v>65519537</v>
      </c>
      <c r="F383">
        <v>2596599107835</v>
      </c>
      <c r="G383">
        <v>576.24</v>
      </c>
      <c r="H383">
        <v>513.27</v>
      </c>
      <c r="I383">
        <v>11.15</v>
      </c>
      <c r="J383">
        <v>28.6</v>
      </c>
      <c r="K383">
        <v>113.85</v>
      </c>
      <c r="L383">
        <v>65.11</v>
      </c>
      <c r="M383">
        <v>412.94</v>
      </c>
      <c r="N383">
        <v>49.45</v>
      </c>
      <c r="O383">
        <v>1.9350000000000001</v>
      </c>
      <c r="P383">
        <v>4.9630000000000001</v>
      </c>
      <c r="Q383">
        <v>19.757000000000001</v>
      </c>
      <c r="R383">
        <v>8.5809999999999995</v>
      </c>
      <c r="S383">
        <v>91.418999999999997</v>
      </c>
      <c r="T383">
        <v>59.92</v>
      </c>
      <c r="U383">
        <v>17.89</v>
      </c>
      <c r="V383">
        <v>25.7</v>
      </c>
      <c r="W383">
        <v>16.2</v>
      </c>
      <c r="X383">
        <v>23.9</v>
      </c>
    </row>
    <row r="384" spans="1:25" x14ac:dyDescent="0.25">
      <c r="A384" t="s">
        <v>65</v>
      </c>
      <c r="B384" t="s">
        <v>38</v>
      </c>
      <c r="C384" t="s">
        <v>35</v>
      </c>
      <c r="D384">
        <v>2019</v>
      </c>
      <c r="E384">
        <v>65729460</v>
      </c>
      <c r="F384">
        <v>2644453795826</v>
      </c>
      <c r="G384">
        <v>565.52</v>
      </c>
      <c r="H384">
        <v>507.85</v>
      </c>
      <c r="I384">
        <v>12.02</v>
      </c>
      <c r="J384">
        <v>34.72</v>
      </c>
      <c r="K384">
        <v>112.9</v>
      </c>
      <c r="L384">
        <v>56.91</v>
      </c>
      <c r="M384">
        <v>399.01</v>
      </c>
      <c r="N384">
        <v>53.61</v>
      </c>
      <c r="O384">
        <v>2.125</v>
      </c>
      <c r="P384">
        <v>6.1390000000000002</v>
      </c>
      <c r="Q384">
        <v>19.963999999999999</v>
      </c>
      <c r="R384">
        <v>9.48</v>
      </c>
      <c r="S384">
        <v>90.52</v>
      </c>
      <c r="T384">
        <v>59.79</v>
      </c>
      <c r="U384">
        <v>21.03</v>
      </c>
      <c r="V384">
        <v>7.8</v>
      </c>
      <c r="W384">
        <v>21.4</v>
      </c>
      <c r="X384">
        <v>-0.8</v>
      </c>
    </row>
    <row r="385" spans="1:25" x14ac:dyDescent="0.25">
      <c r="A385" t="s">
        <v>65</v>
      </c>
      <c r="B385" t="s">
        <v>38</v>
      </c>
      <c r="C385" t="s">
        <v>35</v>
      </c>
      <c r="D385">
        <v>2020</v>
      </c>
      <c r="E385">
        <v>65905273</v>
      </c>
      <c r="F385">
        <v>2438594133224</v>
      </c>
      <c r="G385">
        <v>527.25</v>
      </c>
      <c r="H385">
        <v>482.21</v>
      </c>
      <c r="I385">
        <v>13.09</v>
      </c>
      <c r="J385">
        <v>40.049999999999997</v>
      </c>
      <c r="K385">
        <v>125.03</v>
      </c>
      <c r="L385">
        <v>62.52</v>
      </c>
      <c r="M385">
        <v>353.83</v>
      </c>
      <c r="N385">
        <v>48.39</v>
      </c>
      <c r="O385">
        <v>2.4830000000000001</v>
      </c>
      <c r="P385">
        <v>7.5960000000000001</v>
      </c>
      <c r="Q385">
        <v>23.713999999999999</v>
      </c>
      <c r="R385">
        <v>9.1780000000000008</v>
      </c>
      <c r="S385">
        <v>90.822000000000003</v>
      </c>
      <c r="T385">
        <v>59.08</v>
      </c>
      <c r="U385">
        <v>23.91</v>
      </c>
      <c r="V385">
        <v>8.9</v>
      </c>
      <c r="W385">
        <v>15.4</v>
      </c>
      <c r="X385">
        <v>10.7</v>
      </c>
    </row>
    <row r="386" spans="1:25" x14ac:dyDescent="0.25">
      <c r="A386" t="s">
        <v>65</v>
      </c>
      <c r="B386" t="s">
        <v>38</v>
      </c>
      <c r="C386" t="s">
        <v>35</v>
      </c>
      <c r="D386">
        <v>2021</v>
      </c>
      <c r="E386">
        <v>66083547</v>
      </c>
      <c r="F386">
        <v>2604822841790</v>
      </c>
      <c r="G386">
        <v>550.30999999999995</v>
      </c>
      <c r="H386">
        <v>505.42</v>
      </c>
      <c r="I386">
        <v>15.28</v>
      </c>
      <c r="J386">
        <v>37.119999999999997</v>
      </c>
      <c r="K386">
        <v>122.1</v>
      </c>
      <c r="L386">
        <v>59.54</v>
      </c>
      <c r="M386">
        <v>379.36</v>
      </c>
      <c r="N386">
        <v>48.85</v>
      </c>
      <c r="O386">
        <v>2.7770000000000001</v>
      </c>
      <c r="P386">
        <v>6.7450000000000001</v>
      </c>
      <c r="Q386">
        <v>22.187000000000001</v>
      </c>
      <c r="R386">
        <v>8.8770000000000007</v>
      </c>
      <c r="S386">
        <v>91.123000000000005</v>
      </c>
      <c r="T386">
        <v>59.8</v>
      </c>
      <c r="U386">
        <v>23.58</v>
      </c>
      <c r="V386">
        <v>16.7</v>
      </c>
      <c r="W386">
        <v>-7.3</v>
      </c>
      <c r="X386">
        <v>-2.2999999999999998</v>
      </c>
    </row>
    <row r="387" spans="1:25" x14ac:dyDescent="0.25">
      <c r="A387" t="s">
        <v>65</v>
      </c>
      <c r="B387" t="s">
        <v>38</v>
      </c>
      <c r="C387" t="s">
        <v>35</v>
      </c>
      <c r="D387">
        <v>2022</v>
      </c>
      <c r="E387">
        <v>66277412</v>
      </c>
      <c r="F387">
        <v>2671568767031</v>
      </c>
      <c r="G387">
        <v>468.45</v>
      </c>
      <c r="H387">
        <v>483.39</v>
      </c>
      <c r="I387">
        <v>19.34</v>
      </c>
      <c r="J387">
        <v>38.200000000000003</v>
      </c>
      <c r="K387">
        <v>113.37</v>
      </c>
      <c r="L387">
        <v>45.56</v>
      </c>
      <c r="M387">
        <v>294.73</v>
      </c>
      <c r="N387">
        <v>60.35</v>
      </c>
      <c r="O387">
        <v>4.1289999999999996</v>
      </c>
      <c r="P387">
        <v>8.1549999999999994</v>
      </c>
      <c r="Q387">
        <v>24.201000000000001</v>
      </c>
      <c r="R387">
        <v>12.882999999999999</v>
      </c>
      <c r="S387">
        <v>87.117000000000004</v>
      </c>
      <c r="T387">
        <v>78.540000000000006</v>
      </c>
      <c r="U387">
        <v>25.89</v>
      </c>
      <c r="V387">
        <v>26.6</v>
      </c>
      <c r="W387">
        <v>2.9</v>
      </c>
      <c r="X387">
        <v>-7.1</v>
      </c>
    </row>
    <row r="388" spans="1:25" x14ac:dyDescent="0.25">
      <c r="A388" t="s">
        <v>65</v>
      </c>
      <c r="B388" t="s">
        <v>38</v>
      </c>
      <c r="C388" t="s">
        <v>35</v>
      </c>
      <c r="D388">
        <v>2023</v>
      </c>
      <c r="E388">
        <v>66438828</v>
      </c>
      <c r="G388">
        <v>518.75</v>
      </c>
      <c r="H388">
        <v>468.28</v>
      </c>
      <c r="I388">
        <v>22.59</v>
      </c>
      <c r="J388">
        <v>50.48</v>
      </c>
      <c r="K388">
        <v>139.49</v>
      </c>
      <c r="L388">
        <v>55.9</v>
      </c>
      <c r="M388">
        <v>338.2</v>
      </c>
      <c r="N388">
        <v>41.06</v>
      </c>
      <c r="O388">
        <v>4.3550000000000004</v>
      </c>
      <c r="P388">
        <v>9.7309999999999999</v>
      </c>
      <c r="Q388">
        <v>26.89</v>
      </c>
      <c r="R388">
        <v>7.915</v>
      </c>
      <c r="S388">
        <v>92.084999999999994</v>
      </c>
      <c r="T388">
        <v>53.26</v>
      </c>
      <c r="U388">
        <v>32.880000000000003</v>
      </c>
      <c r="V388">
        <v>16.8</v>
      </c>
      <c r="W388">
        <v>32.1</v>
      </c>
      <c r="X388">
        <v>23</v>
      </c>
      <c r="Y388" t="s">
        <v>67</v>
      </c>
    </row>
    <row r="389" spans="1:25" x14ac:dyDescent="0.25">
      <c r="A389" t="s">
        <v>65</v>
      </c>
      <c r="B389" t="s">
        <v>38</v>
      </c>
      <c r="C389" t="s">
        <v>35</v>
      </c>
      <c r="D389">
        <v>2024</v>
      </c>
      <c r="E389">
        <v>66548532</v>
      </c>
      <c r="G389">
        <v>561.78</v>
      </c>
      <c r="H389">
        <v>471.8</v>
      </c>
      <c r="I389">
        <v>24.87</v>
      </c>
      <c r="J389">
        <v>45.43</v>
      </c>
      <c r="K389">
        <v>152.66999999999999</v>
      </c>
      <c r="L389">
        <v>71.12</v>
      </c>
      <c r="M389">
        <v>380.45</v>
      </c>
      <c r="N389">
        <v>28.66</v>
      </c>
      <c r="O389">
        <v>4.4269999999999996</v>
      </c>
      <c r="P389">
        <v>8.0869999999999997</v>
      </c>
      <c r="Q389">
        <v>27.175999999999998</v>
      </c>
      <c r="R389">
        <v>5.1020000000000003</v>
      </c>
      <c r="S389">
        <v>94.897999999999996</v>
      </c>
      <c r="T389">
        <v>40.479999999999997</v>
      </c>
      <c r="U389">
        <v>31.64</v>
      </c>
      <c r="V389">
        <v>10.1</v>
      </c>
      <c r="W389">
        <v>-10</v>
      </c>
      <c r="X389">
        <v>9.4</v>
      </c>
    </row>
    <row r="390" spans="1:25" x14ac:dyDescent="0.25">
      <c r="A390" t="s">
        <v>65</v>
      </c>
      <c r="B390" t="s">
        <v>38</v>
      </c>
      <c r="C390" t="s">
        <v>35</v>
      </c>
      <c r="D390">
        <v>2025</v>
      </c>
      <c r="E390">
        <v>66650804</v>
      </c>
      <c r="G390">
        <v>569.98</v>
      </c>
      <c r="H390">
        <v>476.66</v>
      </c>
      <c r="I390">
        <v>31.82</v>
      </c>
      <c r="J390">
        <v>46.49</v>
      </c>
      <c r="K390">
        <v>148.56</v>
      </c>
      <c r="L390">
        <v>59.41</v>
      </c>
      <c r="M390">
        <v>392.07</v>
      </c>
      <c r="N390">
        <v>29.35</v>
      </c>
      <c r="O390">
        <v>5.5830000000000002</v>
      </c>
      <c r="P390">
        <v>8.1560000000000006</v>
      </c>
      <c r="Q390">
        <v>26.064</v>
      </c>
      <c r="R390">
        <v>5.149</v>
      </c>
      <c r="S390">
        <v>94.850999999999999</v>
      </c>
      <c r="T390">
        <v>41.44</v>
      </c>
      <c r="U390">
        <v>35.24</v>
      </c>
      <c r="V390">
        <v>27.9</v>
      </c>
      <c r="W390">
        <v>2.2999999999999998</v>
      </c>
      <c r="X390">
        <v>-2.7</v>
      </c>
    </row>
    <row r="391" spans="1:25" x14ac:dyDescent="0.25">
      <c r="A391" t="s">
        <v>68</v>
      </c>
      <c r="B391" t="s">
        <v>38</v>
      </c>
      <c r="C391" t="s">
        <v>35</v>
      </c>
      <c r="D391">
        <v>2000</v>
      </c>
      <c r="E391">
        <v>81797255</v>
      </c>
      <c r="F391">
        <v>2718560455818</v>
      </c>
      <c r="G391">
        <v>568.95000000000005</v>
      </c>
      <c r="H391">
        <v>572.01</v>
      </c>
      <c r="I391">
        <v>0</v>
      </c>
      <c r="J391">
        <v>9.35</v>
      </c>
      <c r="K391">
        <v>35.409999999999997</v>
      </c>
      <c r="L391">
        <v>21.73</v>
      </c>
      <c r="M391">
        <v>169.61</v>
      </c>
      <c r="N391">
        <v>363.93</v>
      </c>
      <c r="O391">
        <v>0</v>
      </c>
      <c r="P391">
        <v>1.643</v>
      </c>
      <c r="Q391">
        <v>6.2240000000000002</v>
      </c>
      <c r="R391">
        <v>63.965000000000003</v>
      </c>
      <c r="S391">
        <v>36.034999999999997</v>
      </c>
      <c r="T391">
        <v>573.16</v>
      </c>
      <c r="U391">
        <v>4.21</v>
      </c>
      <c r="Y391" t="s">
        <v>69</v>
      </c>
    </row>
    <row r="392" spans="1:25" x14ac:dyDescent="0.25">
      <c r="A392" t="s">
        <v>68</v>
      </c>
      <c r="B392" t="s">
        <v>38</v>
      </c>
      <c r="C392" t="s">
        <v>35</v>
      </c>
      <c r="D392">
        <v>2001</v>
      </c>
      <c r="E392">
        <v>81933882</v>
      </c>
      <c r="F392">
        <v>2793373055251</v>
      </c>
      <c r="G392">
        <v>578.94000000000005</v>
      </c>
      <c r="H392">
        <v>582.6</v>
      </c>
      <c r="I392">
        <v>0.1</v>
      </c>
      <c r="J392">
        <v>10.46</v>
      </c>
      <c r="K392">
        <v>37.880000000000003</v>
      </c>
      <c r="L392">
        <v>22.73</v>
      </c>
      <c r="M392">
        <v>171.3</v>
      </c>
      <c r="N392">
        <v>369.76</v>
      </c>
      <c r="O392">
        <v>1.7000000000000001E-2</v>
      </c>
      <c r="P392">
        <v>1.8069999999999999</v>
      </c>
      <c r="Q392">
        <v>6.5430000000000001</v>
      </c>
      <c r="R392">
        <v>63.868000000000002</v>
      </c>
      <c r="S392">
        <v>36.131999999999998</v>
      </c>
      <c r="T392">
        <v>565.48</v>
      </c>
      <c r="U392">
        <v>4.75</v>
      </c>
      <c r="W392">
        <v>11.9</v>
      </c>
      <c r="X392">
        <v>7</v>
      </c>
    </row>
    <row r="393" spans="1:25" x14ac:dyDescent="0.25">
      <c r="A393" t="s">
        <v>68</v>
      </c>
      <c r="B393" t="s">
        <v>38</v>
      </c>
      <c r="C393" t="s">
        <v>35</v>
      </c>
      <c r="D393">
        <v>2002</v>
      </c>
      <c r="E393">
        <v>82068328</v>
      </c>
      <c r="F393">
        <v>2822441773260</v>
      </c>
      <c r="G393">
        <v>583.76</v>
      </c>
      <c r="H393">
        <v>593.76</v>
      </c>
      <c r="I393">
        <v>0.2</v>
      </c>
      <c r="J393">
        <v>15.86</v>
      </c>
      <c r="K393">
        <v>44.49</v>
      </c>
      <c r="L393">
        <v>23.12</v>
      </c>
      <c r="M393">
        <v>164.84</v>
      </c>
      <c r="N393">
        <v>374.43</v>
      </c>
      <c r="O393">
        <v>3.4000000000000002E-2</v>
      </c>
      <c r="P393">
        <v>2.7170000000000001</v>
      </c>
      <c r="Q393">
        <v>7.6210000000000004</v>
      </c>
      <c r="R393">
        <v>64.141000000000005</v>
      </c>
      <c r="S393">
        <v>35.859000000000002</v>
      </c>
      <c r="T393">
        <v>569.62</v>
      </c>
      <c r="U393">
        <v>7.23</v>
      </c>
      <c r="V393">
        <v>100</v>
      </c>
      <c r="W393">
        <v>51.6</v>
      </c>
      <c r="X393">
        <v>17.399999999999999</v>
      </c>
    </row>
    <row r="394" spans="1:25" x14ac:dyDescent="0.25">
      <c r="A394" t="s">
        <v>68</v>
      </c>
      <c r="B394" t="s">
        <v>38</v>
      </c>
      <c r="C394" t="s">
        <v>35</v>
      </c>
      <c r="D394">
        <v>2003</v>
      </c>
      <c r="E394">
        <v>82111619</v>
      </c>
      <c r="F394">
        <v>2831676106520</v>
      </c>
      <c r="G394">
        <v>602.03</v>
      </c>
      <c r="H394">
        <v>598.76</v>
      </c>
      <c r="I394">
        <v>0.31</v>
      </c>
      <c r="J394">
        <v>19.09</v>
      </c>
      <c r="K394">
        <v>46.67</v>
      </c>
      <c r="L394">
        <v>18.32</v>
      </c>
      <c r="M394">
        <v>165.06</v>
      </c>
      <c r="N394">
        <v>390.3</v>
      </c>
      <c r="O394">
        <v>5.0999999999999997E-2</v>
      </c>
      <c r="P394">
        <v>3.1709999999999998</v>
      </c>
      <c r="Q394">
        <v>7.7519999999999998</v>
      </c>
      <c r="R394">
        <v>64.831000000000003</v>
      </c>
      <c r="S394">
        <v>35.168999999999997</v>
      </c>
      <c r="T394">
        <v>570.01</v>
      </c>
      <c r="U394">
        <v>8.73</v>
      </c>
      <c r="V394">
        <v>55</v>
      </c>
      <c r="W394">
        <v>20.399999999999999</v>
      </c>
      <c r="X394">
        <v>4.9000000000000004</v>
      </c>
    </row>
    <row r="395" spans="1:25" x14ac:dyDescent="0.25">
      <c r="A395" t="s">
        <v>68</v>
      </c>
      <c r="B395" t="s">
        <v>38</v>
      </c>
      <c r="C395" t="s">
        <v>35</v>
      </c>
      <c r="D395">
        <v>2004</v>
      </c>
      <c r="E395">
        <v>82092706</v>
      </c>
      <c r="F395">
        <v>2894624877966</v>
      </c>
      <c r="G395">
        <v>609.6</v>
      </c>
      <c r="H395">
        <v>606.98</v>
      </c>
      <c r="I395">
        <v>0.56000000000000005</v>
      </c>
      <c r="J395">
        <v>26.02</v>
      </c>
      <c r="K395">
        <v>57.97</v>
      </c>
      <c r="L395">
        <v>20.75</v>
      </c>
      <c r="M395">
        <v>167.07</v>
      </c>
      <c r="N395">
        <v>384.56</v>
      </c>
      <c r="O395">
        <v>9.1999999999999998E-2</v>
      </c>
      <c r="P395">
        <v>4.2679999999999998</v>
      </c>
      <c r="Q395">
        <v>9.51</v>
      </c>
      <c r="R395">
        <v>63.084000000000003</v>
      </c>
      <c r="S395">
        <v>36.915999999999997</v>
      </c>
      <c r="T395">
        <v>554.71</v>
      </c>
      <c r="U395">
        <v>11.96</v>
      </c>
      <c r="V395">
        <v>80.599999999999994</v>
      </c>
      <c r="W395">
        <v>36.299999999999997</v>
      </c>
      <c r="X395">
        <v>24.2</v>
      </c>
    </row>
    <row r="396" spans="1:25" x14ac:dyDescent="0.25">
      <c r="A396" t="s">
        <v>68</v>
      </c>
      <c r="B396" t="s">
        <v>38</v>
      </c>
      <c r="C396" t="s">
        <v>35</v>
      </c>
      <c r="D396">
        <v>2005</v>
      </c>
      <c r="E396">
        <v>82046733</v>
      </c>
      <c r="F396">
        <v>2945460930734</v>
      </c>
      <c r="G396">
        <v>613.34</v>
      </c>
      <c r="H396">
        <v>608.77</v>
      </c>
      <c r="I396">
        <v>1.31</v>
      </c>
      <c r="J396">
        <v>27.77</v>
      </c>
      <c r="K396">
        <v>63.43</v>
      </c>
      <c r="L396">
        <v>19.64</v>
      </c>
      <c r="M396">
        <v>163.05000000000001</v>
      </c>
      <c r="N396">
        <v>386.86</v>
      </c>
      <c r="O396">
        <v>0.214</v>
      </c>
      <c r="P396">
        <v>4.5279999999999996</v>
      </c>
      <c r="Q396">
        <v>10.342000000000001</v>
      </c>
      <c r="R396">
        <v>63.073999999999998</v>
      </c>
      <c r="S396">
        <v>36.926000000000002</v>
      </c>
      <c r="T396">
        <v>546.29999999999995</v>
      </c>
      <c r="U396">
        <v>13.09</v>
      </c>
      <c r="V396">
        <v>133.9</v>
      </c>
      <c r="W396">
        <v>6.7</v>
      </c>
      <c r="X396">
        <v>9.4</v>
      </c>
    </row>
    <row r="397" spans="1:25" x14ac:dyDescent="0.25">
      <c r="A397" t="s">
        <v>68</v>
      </c>
      <c r="B397" t="s">
        <v>38</v>
      </c>
      <c r="C397" t="s">
        <v>35</v>
      </c>
      <c r="D397">
        <v>2006</v>
      </c>
      <c r="E397">
        <v>81701971</v>
      </c>
      <c r="F397">
        <v>3086359147617</v>
      </c>
      <c r="G397">
        <v>630.20000000000005</v>
      </c>
      <c r="H397">
        <v>613.22</v>
      </c>
      <c r="I397">
        <v>2.27</v>
      </c>
      <c r="J397">
        <v>31.32</v>
      </c>
      <c r="K397">
        <v>72.56</v>
      </c>
      <c r="L397">
        <v>20.03</v>
      </c>
      <c r="M397">
        <v>167.27</v>
      </c>
      <c r="N397">
        <v>390.37</v>
      </c>
      <c r="O397">
        <v>0.36</v>
      </c>
      <c r="P397">
        <v>4.97</v>
      </c>
      <c r="Q397">
        <v>11.513999999999999</v>
      </c>
      <c r="R397">
        <v>61.944000000000003</v>
      </c>
      <c r="S397">
        <v>38.055999999999997</v>
      </c>
      <c r="T397">
        <v>536.21</v>
      </c>
      <c r="U397">
        <v>15.12</v>
      </c>
      <c r="V397">
        <v>73.3</v>
      </c>
      <c r="W397">
        <v>12.8</v>
      </c>
      <c r="X397">
        <v>14.4</v>
      </c>
    </row>
    <row r="398" spans="1:25" x14ac:dyDescent="0.25">
      <c r="A398" t="s">
        <v>68</v>
      </c>
      <c r="B398" t="s">
        <v>38</v>
      </c>
      <c r="C398" t="s">
        <v>35</v>
      </c>
      <c r="D398">
        <v>2007</v>
      </c>
      <c r="E398">
        <v>81298546</v>
      </c>
      <c r="F398">
        <v>3220275669650</v>
      </c>
      <c r="G398">
        <v>631.1</v>
      </c>
      <c r="H398">
        <v>614.54</v>
      </c>
      <c r="I398">
        <v>3.14</v>
      </c>
      <c r="J398">
        <v>40.51</v>
      </c>
      <c r="K398">
        <v>89.44</v>
      </c>
      <c r="L398">
        <v>21.17</v>
      </c>
      <c r="M398">
        <v>140.53</v>
      </c>
      <c r="N398">
        <v>401.13</v>
      </c>
      <c r="O398">
        <v>0.498</v>
      </c>
      <c r="P398">
        <v>6.4189999999999996</v>
      </c>
      <c r="Q398">
        <v>14.172000000000001</v>
      </c>
      <c r="R398">
        <v>63.56</v>
      </c>
      <c r="S398">
        <v>36.44</v>
      </c>
      <c r="T398">
        <v>551.80999999999995</v>
      </c>
      <c r="U398">
        <v>19.64</v>
      </c>
      <c r="V398">
        <v>38.299999999999997</v>
      </c>
      <c r="W398">
        <v>29.3</v>
      </c>
      <c r="X398">
        <v>23.3</v>
      </c>
    </row>
    <row r="399" spans="1:25" x14ac:dyDescent="0.25">
      <c r="A399" t="s">
        <v>68</v>
      </c>
      <c r="B399" t="s">
        <v>38</v>
      </c>
      <c r="C399" t="s">
        <v>35</v>
      </c>
      <c r="D399">
        <v>2008</v>
      </c>
      <c r="E399">
        <v>81110780</v>
      </c>
      <c r="F399">
        <v>3289020399474</v>
      </c>
      <c r="G399">
        <v>632.29</v>
      </c>
      <c r="H399">
        <v>612.19000000000005</v>
      </c>
      <c r="I399">
        <v>4.51</v>
      </c>
      <c r="J399">
        <v>41.38</v>
      </c>
      <c r="K399">
        <v>94.37</v>
      </c>
      <c r="L399">
        <v>20.440000000000001</v>
      </c>
      <c r="M399">
        <v>148.49</v>
      </c>
      <c r="N399">
        <v>389.43</v>
      </c>
      <c r="O399">
        <v>0.71299999999999997</v>
      </c>
      <c r="P399">
        <v>6.5439999999999996</v>
      </c>
      <c r="Q399">
        <v>14.925000000000001</v>
      </c>
      <c r="R399">
        <v>61.59</v>
      </c>
      <c r="S399">
        <v>38.409999999999997</v>
      </c>
      <c r="T399">
        <v>525.41</v>
      </c>
      <c r="U399">
        <v>20.65</v>
      </c>
      <c r="V399">
        <v>43.6</v>
      </c>
      <c r="W399">
        <v>2.1</v>
      </c>
      <c r="X399">
        <v>5.5</v>
      </c>
    </row>
    <row r="400" spans="1:25" x14ac:dyDescent="0.25">
      <c r="A400" t="s">
        <v>68</v>
      </c>
      <c r="B400" t="s">
        <v>38</v>
      </c>
      <c r="C400" t="s">
        <v>35</v>
      </c>
      <c r="D400">
        <v>2009</v>
      </c>
      <c r="E400">
        <v>80935276</v>
      </c>
      <c r="F400">
        <v>3136502162046</v>
      </c>
      <c r="G400">
        <v>587.96</v>
      </c>
      <c r="H400">
        <v>575.69000000000005</v>
      </c>
      <c r="I400">
        <v>6.72</v>
      </c>
      <c r="J400">
        <v>39.42</v>
      </c>
      <c r="K400">
        <v>96.08</v>
      </c>
      <c r="L400">
        <v>19.03</v>
      </c>
      <c r="M400">
        <v>134.93</v>
      </c>
      <c r="N400">
        <v>356.95</v>
      </c>
      <c r="O400">
        <v>1.143</v>
      </c>
      <c r="P400">
        <v>6.7050000000000001</v>
      </c>
      <c r="Q400">
        <v>16.341000000000001</v>
      </c>
      <c r="R400">
        <v>60.71</v>
      </c>
      <c r="S400">
        <v>39.29</v>
      </c>
      <c r="T400">
        <v>521.54999999999995</v>
      </c>
      <c r="U400">
        <v>20.76</v>
      </c>
      <c r="V400">
        <v>49</v>
      </c>
      <c r="W400">
        <v>-4.7</v>
      </c>
      <c r="X400">
        <v>1.8</v>
      </c>
    </row>
    <row r="401" spans="1:25" x14ac:dyDescent="0.25">
      <c r="A401" t="s">
        <v>68</v>
      </c>
      <c r="B401" t="s">
        <v>38</v>
      </c>
      <c r="C401" t="s">
        <v>35</v>
      </c>
      <c r="D401">
        <v>2010</v>
      </c>
      <c r="E401">
        <v>80830916</v>
      </c>
      <c r="F401">
        <v>3301123203586</v>
      </c>
      <c r="G401">
        <v>624.21</v>
      </c>
      <c r="H401">
        <v>609.26</v>
      </c>
      <c r="I401">
        <v>11.96</v>
      </c>
      <c r="J401">
        <v>38.549999999999997</v>
      </c>
      <c r="K401">
        <v>105.41</v>
      </c>
      <c r="L401">
        <v>20.95</v>
      </c>
      <c r="M401">
        <v>140.56</v>
      </c>
      <c r="N401">
        <v>378.24</v>
      </c>
      <c r="O401">
        <v>1.9159999999999999</v>
      </c>
      <c r="P401">
        <v>6.1760000000000002</v>
      </c>
      <c r="Q401">
        <v>16.887</v>
      </c>
      <c r="R401">
        <v>60.594999999999999</v>
      </c>
      <c r="S401">
        <v>39.405000000000001</v>
      </c>
      <c r="T401">
        <v>516.65</v>
      </c>
      <c r="U401">
        <v>22.73</v>
      </c>
      <c r="V401">
        <v>78</v>
      </c>
      <c r="W401">
        <v>-2.2000000000000002</v>
      </c>
      <c r="X401">
        <v>9.6999999999999993</v>
      </c>
      <c r="Y401" t="s">
        <v>70</v>
      </c>
    </row>
    <row r="402" spans="1:25" x14ac:dyDescent="0.25">
      <c r="A402" t="s">
        <v>68</v>
      </c>
      <c r="B402" t="s">
        <v>38</v>
      </c>
      <c r="C402" t="s">
        <v>35</v>
      </c>
      <c r="D402">
        <v>2011</v>
      </c>
      <c r="E402">
        <v>80857877</v>
      </c>
      <c r="F402">
        <v>3467712967640</v>
      </c>
      <c r="G402">
        <v>605</v>
      </c>
      <c r="H402">
        <v>601.23</v>
      </c>
      <c r="I402">
        <v>19.989999999999998</v>
      </c>
      <c r="J402">
        <v>49.86</v>
      </c>
      <c r="K402">
        <v>124.43</v>
      </c>
      <c r="L402">
        <v>17.670000000000002</v>
      </c>
      <c r="M402">
        <v>107.97</v>
      </c>
      <c r="N402">
        <v>372.6</v>
      </c>
      <c r="O402">
        <v>3.3039999999999998</v>
      </c>
      <c r="P402">
        <v>8.2409999999999997</v>
      </c>
      <c r="Q402">
        <v>20.567</v>
      </c>
      <c r="R402">
        <v>61.587000000000003</v>
      </c>
      <c r="S402">
        <v>38.412999999999997</v>
      </c>
      <c r="T402">
        <v>529.66999999999996</v>
      </c>
      <c r="U402">
        <v>31.43</v>
      </c>
      <c r="V402">
        <v>67.099999999999994</v>
      </c>
      <c r="W402">
        <v>29.3</v>
      </c>
      <c r="X402">
        <v>18</v>
      </c>
    </row>
    <row r="403" spans="1:25" x14ac:dyDescent="0.25">
      <c r="A403" t="s">
        <v>68</v>
      </c>
      <c r="B403" t="s">
        <v>38</v>
      </c>
      <c r="C403" t="s">
        <v>35</v>
      </c>
      <c r="D403">
        <v>2012</v>
      </c>
      <c r="E403">
        <v>80916391</v>
      </c>
      <c r="F403">
        <v>3482225441398</v>
      </c>
      <c r="G403">
        <v>619.80999999999995</v>
      </c>
      <c r="H403">
        <v>599.27</v>
      </c>
      <c r="I403">
        <v>26.74</v>
      </c>
      <c r="J403">
        <v>51.68</v>
      </c>
      <c r="K403">
        <v>143.4</v>
      </c>
      <c r="L403">
        <v>21.75</v>
      </c>
      <c r="M403">
        <v>99.46</v>
      </c>
      <c r="N403">
        <v>376.95</v>
      </c>
      <c r="O403">
        <v>4.3140000000000001</v>
      </c>
      <c r="P403">
        <v>8.3379999999999992</v>
      </c>
      <c r="Q403">
        <v>23.135999999999999</v>
      </c>
      <c r="R403">
        <v>60.817</v>
      </c>
      <c r="S403">
        <v>39.183</v>
      </c>
      <c r="T403">
        <v>534.16</v>
      </c>
      <c r="U403">
        <v>35.29</v>
      </c>
      <c r="V403">
        <v>33.799999999999997</v>
      </c>
      <c r="W403">
        <v>3.7</v>
      </c>
      <c r="X403">
        <v>15.2</v>
      </c>
    </row>
    <row r="404" spans="1:25" x14ac:dyDescent="0.25">
      <c r="A404" t="s">
        <v>68</v>
      </c>
      <c r="B404" t="s">
        <v>38</v>
      </c>
      <c r="C404" t="s">
        <v>35</v>
      </c>
      <c r="D404">
        <v>2013</v>
      </c>
      <c r="E404">
        <v>81041581</v>
      </c>
      <c r="F404">
        <v>3497463140441</v>
      </c>
      <c r="G404">
        <v>629.69000000000005</v>
      </c>
      <c r="H404">
        <v>597.5</v>
      </c>
      <c r="I404">
        <v>30.62</v>
      </c>
      <c r="J404">
        <v>52.74</v>
      </c>
      <c r="K404">
        <v>151.94999999999999</v>
      </c>
      <c r="L404">
        <v>23</v>
      </c>
      <c r="M404">
        <v>97.29</v>
      </c>
      <c r="N404">
        <v>380.45</v>
      </c>
      <c r="O404">
        <v>4.8630000000000004</v>
      </c>
      <c r="P404">
        <v>8.3759999999999994</v>
      </c>
      <c r="Q404">
        <v>24.131</v>
      </c>
      <c r="R404">
        <v>60.418999999999997</v>
      </c>
      <c r="S404">
        <v>39.581000000000003</v>
      </c>
      <c r="T404">
        <v>538.04</v>
      </c>
      <c r="U404">
        <v>37.51</v>
      </c>
      <c r="V404">
        <v>14.5</v>
      </c>
      <c r="W404">
        <v>2.1</v>
      </c>
      <c r="X404">
        <v>6</v>
      </c>
    </row>
    <row r="405" spans="1:25" x14ac:dyDescent="0.25">
      <c r="A405" t="s">
        <v>68</v>
      </c>
      <c r="B405" t="s">
        <v>38</v>
      </c>
      <c r="C405" t="s">
        <v>35</v>
      </c>
      <c r="D405">
        <v>2014</v>
      </c>
      <c r="E405">
        <v>81376078</v>
      </c>
      <c r="F405">
        <v>3574741315261</v>
      </c>
      <c r="G405">
        <v>618.75</v>
      </c>
      <c r="H405">
        <v>584.87</v>
      </c>
      <c r="I405">
        <v>35.450000000000003</v>
      </c>
      <c r="J405">
        <v>58.5</v>
      </c>
      <c r="K405">
        <v>161.93</v>
      </c>
      <c r="L405">
        <v>19.59</v>
      </c>
      <c r="M405">
        <v>97.13</v>
      </c>
      <c r="N405">
        <v>359.69</v>
      </c>
      <c r="O405">
        <v>5.7290000000000001</v>
      </c>
      <c r="P405">
        <v>9.4550000000000001</v>
      </c>
      <c r="Q405">
        <v>26.170999999999999</v>
      </c>
      <c r="R405">
        <v>58.131999999999998</v>
      </c>
      <c r="S405">
        <v>41.868000000000002</v>
      </c>
      <c r="T405">
        <v>521.67999999999995</v>
      </c>
      <c r="U405">
        <v>42.28</v>
      </c>
      <c r="V405">
        <v>15.8</v>
      </c>
      <c r="W405">
        <v>10.9</v>
      </c>
      <c r="X405">
        <v>6.6</v>
      </c>
    </row>
    <row r="406" spans="1:25" x14ac:dyDescent="0.25">
      <c r="A406" t="s">
        <v>68</v>
      </c>
      <c r="B406" t="s">
        <v>38</v>
      </c>
      <c r="C406" t="s">
        <v>35</v>
      </c>
      <c r="D406">
        <v>2015</v>
      </c>
      <c r="E406">
        <v>82077546</v>
      </c>
      <c r="F406">
        <v>3628073946157</v>
      </c>
      <c r="G406">
        <v>639.16999999999996</v>
      </c>
      <c r="H406">
        <v>590.89</v>
      </c>
      <c r="I406">
        <v>38.08</v>
      </c>
      <c r="J406">
        <v>80.62</v>
      </c>
      <c r="K406">
        <v>188.14</v>
      </c>
      <c r="L406">
        <v>18.98</v>
      </c>
      <c r="M406">
        <v>91.79</v>
      </c>
      <c r="N406">
        <v>359.24</v>
      </c>
      <c r="O406">
        <v>5.9580000000000002</v>
      </c>
      <c r="P406">
        <v>12.613</v>
      </c>
      <c r="Q406">
        <v>29.434999999999999</v>
      </c>
      <c r="R406">
        <v>56.204000000000001</v>
      </c>
      <c r="S406">
        <v>43.795999999999999</v>
      </c>
      <c r="T406">
        <v>503.59</v>
      </c>
      <c r="U406">
        <v>53.42</v>
      </c>
      <c r="V406">
        <v>7.4</v>
      </c>
      <c r="W406">
        <v>37.799999999999997</v>
      </c>
      <c r="X406">
        <v>16.2</v>
      </c>
    </row>
    <row r="407" spans="1:25" x14ac:dyDescent="0.25">
      <c r="A407" t="s">
        <v>68</v>
      </c>
      <c r="B407" t="s">
        <v>38</v>
      </c>
      <c r="C407" t="s">
        <v>35</v>
      </c>
      <c r="D407">
        <v>2016</v>
      </c>
      <c r="E407">
        <v>82760102</v>
      </c>
      <c r="F407">
        <v>3708979940863</v>
      </c>
      <c r="G407">
        <v>641.52</v>
      </c>
      <c r="H407">
        <v>591</v>
      </c>
      <c r="I407">
        <v>37.56</v>
      </c>
      <c r="J407">
        <v>79.92</v>
      </c>
      <c r="K407">
        <v>189.13</v>
      </c>
      <c r="L407">
        <v>20.55</v>
      </c>
      <c r="M407">
        <v>84.63</v>
      </c>
      <c r="N407">
        <v>367.76</v>
      </c>
      <c r="O407">
        <v>5.8550000000000004</v>
      </c>
      <c r="P407">
        <v>12.458</v>
      </c>
      <c r="Q407">
        <v>29.481999999999999</v>
      </c>
      <c r="R407">
        <v>57.326000000000001</v>
      </c>
      <c r="S407">
        <v>42.673999999999999</v>
      </c>
      <c r="T407">
        <v>498.3</v>
      </c>
      <c r="U407">
        <v>52.87</v>
      </c>
      <c r="V407">
        <v>-1.4</v>
      </c>
      <c r="W407">
        <v>-0.9</v>
      </c>
      <c r="X407">
        <v>0.5</v>
      </c>
    </row>
    <row r="408" spans="1:25" x14ac:dyDescent="0.25">
      <c r="A408" t="s">
        <v>68</v>
      </c>
      <c r="B408" t="s">
        <v>38</v>
      </c>
      <c r="C408" t="s">
        <v>35</v>
      </c>
      <c r="D408">
        <v>2017</v>
      </c>
      <c r="E408">
        <v>83104010</v>
      </c>
      <c r="F408">
        <v>3808389445530</v>
      </c>
      <c r="G408">
        <v>644.46</v>
      </c>
      <c r="H408">
        <v>592</v>
      </c>
      <c r="I408">
        <v>38.76</v>
      </c>
      <c r="J408">
        <v>105.69</v>
      </c>
      <c r="K408">
        <v>215.68</v>
      </c>
      <c r="L408">
        <v>20.149999999999999</v>
      </c>
      <c r="M408">
        <v>76.319999999999993</v>
      </c>
      <c r="N408">
        <v>352.46</v>
      </c>
      <c r="O408">
        <v>6.0140000000000002</v>
      </c>
      <c r="P408">
        <v>16.399999999999999</v>
      </c>
      <c r="Q408">
        <v>33.466999999999999</v>
      </c>
      <c r="R408">
        <v>54.691000000000003</v>
      </c>
      <c r="S408">
        <v>45.308999999999997</v>
      </c>
      <c r="T408">
        <v>469.71</v>
      </c>
      <c r="U408">
        <v>65</v>
      </c>
      <c r="V408">
        <v>3.2</v>
      </c>
      <c r="W408">
        <v>32.200000000000003</v>
      </c>
      <c r="X408">
        <v>14</v>
      </c>
    </row>
    <row r="409" spans="1:25" x14ac:dyDescent="0.25">
      <c r="A409" t="s">
        <v>68</v>
      </c>
      <c r="B409" t="s">
        <v>38</v>
      </c>
      <c r="C409" t="s">
        <v>35</v>
      </c>
      <c r="D409">
        <v>2018</v>
      </c>
      <c r="E409">
        <v>83368507</v>
      </c>
      <c r="F409">
        <v>3845758522294</v>
      </c>
      <c r="G409">
        <v>632.28</v>
      </c>
      <c r="H409">
        <v>583.54</v>
      </c>
      <c r="I409">
        <v>44.32</v>
      </c>
      <c r="J409">
        <v>109.95</v>
      </c>
      <c r="K409">
        <v>222.93</v>
      </c>
      <c r="L409">
        <v>17.690000000000001</v>
      </c>
      <c r="M409">
        <v>76</v>
      </c>
      <c r="N409">
        <v>333.35</v>
      </c>
      <c r="O409">
        <v>7.01</v>
      </c>
      <c r="P409">
        <v>17.388999999999999</v>
      </c>
      <c r="Q409">
        <v>35.258000000000003</v>
      </c>
      <c r="R409">
        <v>52.722000000000001</v>
      </c>
      <c r="S409">
        <v>47.277999999999999</v>
      </c>
      <c r="T409">
        <v>454.55</v>
      </c>
      <c r="U409">
        <v>69.42</v>
      </c>
      <c r="V409">
        <v>14.3</v>
      </c>
      <c r="W409">
        <v>4</v>
      </c>
      <c r="X409">
        <v>3.4</v>
      </c>
    </row>
    <row r="410" spans="1:25" x14ac:dyDescent="0.25">
      <c r="A410" t="s">
        <v>68</v>
      </c>
      <c r="B410" t="s">
        <v>38</v>
      </c>
      <c r="C410" t="s">
        <v>35</v>
      </c>
      <c r="D410">
        <v>2019</v>
      </c>
      <c r="E410">
        <v>83559184</v>
      </c>
      <c r="F410">
        <v>3886392581475</v>
      </c>
      <c r="G410">
        <v>600.09</v>
      </c>
      <c r="H410">
        <v>567.41999999999996</v>
      </c>
      <c r="I410">
        <v>45.22</v>
      </c>
      <c r="J410">
        <v>125.89</v>
      </c>
      <c r="K410">
        <v>241.17</v>
      </c>
      <c r="L410">
        <v>19.73</v>
      </c>
      <c r="M410">
        <v>75.069999999999993</v>
      </c>
      <c r="N410">
        <v>283.85000000000002</v>
      </c>
      <c r="O410">
        <v>7.5359999999999996</v>
      </c>
      <c r="P410">
        <v>20.978999999999999</v>
      </c>
      <c r="Q410">
        <v>40.189</v>
      </c>
      <c r="R410">
        <v>47.301000000000002</v>
      </c>
      <c r="S410">
        <v>52.698999999999998</v>
      </c>
      <c r="T410">
        <v>392.51</v>
      </c>
      <c r="U410">
        <v>77</v>
      </c>
      <c r="V410">
        <v>2</v>
      </c>
      <c r="W410">
        <v>14.5</v>
      </c>
      <c r="X410">
        <v>8.1999999999999993</v>
      </c>
    </row>
    <row r="411" spans="1:25" x14ac:dyDescent="0.25">
      <c r="A411" t="s">
        <v>68</v>
      </c>
      <c r="B411" t="s">
        <v>38</v>
      </c>
      <c r="C411" t="s">
        <v>35</v>
      </c>
      <c r="D411">
        <v>2020</v>
      </c>
      <c r="E411">
        <v>83628711</v>
      </c>
      <c r="F411">
        <v>3742721113842</v>
      </c>
      <c r="G411">
        <v>566.75</v>
      </c>
      <c r="H411">
        <v>547.72</v>
      </c>
      <c r="I411">
        <v>49.5</v>
      </c>
      <c r="J411">
        <v>132.11000000000001</v>
      </c>
      <c r="K411">
        <v>251.49</v>
      </c>
      <c r="L411">
        <v>18.72</v>
      </c>
      <c r="M411">
        <v>64.38</v>
      </c>
      <c r="N411">
        <v>250.88</v>
      </c>
      <c r="O411">
        <v>8.734</v>
      </c>
      <c r="P411">
        <v>23.31</v>
      </c>
      <c r="Q411">
        <v>44.374000000000002</v>
      </c>
      <c r="R411">
        <v>44.265999999999998</v>
      </c>
      <c r="S411">
        <v>55.734000000000002</v>
      </c>
      <c r="T411">
        <v>355.61</v>
      </c>
      <c r="U411">
        <v>81.72</v>
      </c>
      <c r="V411">
        <v>9.5</v>
      </c>
      <c r="W411">
        <v>4.9000000000000004</v>
      </c>
      <c r="X411">
        <v>4.3</v>
      </c>
    </row>
    <row r="412" spans="1:25" x14ac:dyDescent="0.25">
      <c r="A412" t="s">
        <v>68</v>
      </c>
      <c r="B412" t="s">
        <v>38</v>
      </c>
      <c r="C412" t="s">
        <v>35</v>
      </c>
      <c r="D412">
        <v>2021</v>
      </c>
      <c r="E412">
        <v>83697080</v>
      </c>
      <c r="F412">
        <v>3841041747482</v>
      </c>
      <c r="G412">
        <v>578.83000000000004</v>
      </c>
      <c r="H412">
        <v>560.25</v>
      </c>
      <c r="I412">
        <v>49.34</v>
      </c>
      <c r="J412">
        <v>114.16</v>
      </c>
      <c r="K412">
        <v>232.5</v>
      </c>
      <c r="L412">
        <v>19.66</v>
      </c>
      <c r="M412">
        <v>69.13</v>
      </c>
      <c r="N412">
        <v>277.2</v>
      </c>
      <c r="O412">
        <v>8.5239999999999991</v>
      </c>
      <c r="P412">
        <v>19.722999999999999</v>
      </c>
      <c r="Q412">
        <v>40.167000000000002</v>
      </c>
      <c r="R412">
        <v>47.89</v>
      </c>
      <c r="S412">
        <v>52.11</v>
      </c>
      <c r="T412">
        <v>394.64</v>
      </c>
      <c r="U412">
        <v>73.58</v>
      </c>
      <c r="V412">
        <v>-0.3</v>
      </c>
      <c r="W412">
        <v>-13.6</v>
      </c>
      <c r="X412">
        <v>-7.6</v>
      </c>
    </row>
    <row r="413" spans="1:25" x14ac:dyDescent="0.25">
      <c r="A413" t="s">
        <v>68</v>
      </c>
      <c r="B413" t="s">
        <v>38</v>
      </c>
      <c r="C413" t="s">
        <v>35</v>
      </c>
      <c r="D413">
        <v>2022</v>
      </c>
      <c r="E413">
        <v>84086227</v>
      </c>
      <c r="F413">
        <v>3909612753939</v>
      </c>
      <c r="G413">
        <v>566.88</v>
      </c>
      <c r="H413">
        <v>539.62</v>
      </c>
      <c r="I413">
        <v>60.3</v>
      </c>
      <c r="J413">
        <v>124.81</v>
      </c>
      <c r="K413">
        <v>251.54</v>
      </c>
      <c r="L413">
        <v>17.62</v>
      </c>
      <c r="M413">
        <v>34.71</v>
      </c>
      <c r="N413">
        <v>280.63</v>
      </c>
      <c r="O413">
        <v>10.637</v>
      </c>
      <c r="P413">
        <v>22.016999999999999</v>
      </c>
      <c r="Q413">
        <v>44.372999999999998</v>
      </c>
      <c r="R413">
        <v>49.503999999999998</v>
      </c>
      <c r="S413">
        <v>50.496000000000002</v>
      </c>
      <c r="T413">
        <v>419.74</v>
      </c>
      <c r="U413">
        <v>83.3</v>
      </c>
      <c r="V413">
        <v>22.2</v>
      </c>
      <c r="W413">
        <v>9.3000000000000007</v>
      </c>
      <c r="X413">
        <v>8.1999999999999993</v>
      </c>
    </row>
    <row r="414" spans="1:25" x14ac:dyDescent="0.25">
      <c r="A414" t="s">
        <v>68</v>
      </c>
      <c r="B414" t="s">
        <v>38</v>
      </c>
      <c r="C414" t="s">
        <v>35</v>
      </c>
      <c r="D414">
        <v>2023</v>
      </c>
      <c r="E414">
        <v>84548233</v>
      </c>
      <c r="G414">
        <v>506.72</v>
      </c>
      <c r="H414">
        <v>515.94000000000005</v>
      </c>
      <c r="I414">
        <v>63.87</v>
      </c>
      <c r="J414">
        <v>140.54</v>
      </c>
      <c r="K414">
        <v>277.10000000000002</v>
      </c>
      <c r="L414">
        <v>21.24</v>
      </c>
      <c r="M414">
        <v>7.22</v>
      </c>
      <c r="N414">
        <v>222.4</v>
      </c>
      <c r="O414">
        <v>12.605</v>
      </c>
      <c r="P414">
        <v>27.734999999999999</v>
      </c>
      <c r="Q414">
        <v>54.685000000000002</v>
      </c>
      <c r="R414">
        <v>43.89</v>
      </c>
      <c r="S414">
        <v>56.11</v>
      </c>
      <c r="T414">
        <v>362.92</v>
      </c>
      <c r="U414">
        <v>91.98</v>
      </c>
      <c r="V414">
        <v>5.9</v>
      </c>
      <c r="W414">
        <v>12.6</v>
      </c>
      <c r="X414">
        <v>10.199999999999999</v>
      </c>
      <c r="Y414" t="s">
        <v>71</v>
      </c>
    </row>
    <row r="415" spans="1:25" x14ac:dyDescent="0.25">
      <c r="A415" t="s">
        <v>68</v>
      </c>
      <c r="B415" t="s">
        <v>38</v>
      </c>
      <c r="C415" t="s">
        <v>35</v>
      </c>
      <c r="D415">
        <v>2024</v>
      </c>
      <c r="E415">
        <v>84552234</v>
      </c>
      <c r="G415">
        <v>495.99</v>
      </c>
      <c r="H415">
        <v>522.26</v>
      </c>
      <c r="I415">
        <v>74.13</v>
      </c>
      <c r="J415">
        <v>141.6</v>
      </c>
      <c r="K415">
        <v>290.86</v>
      </c>
      <c r="L415">
        <v>23.83</v>
      </c>
      <c r="M415">
        <v>0</v>
      </c>
      <c r="N415">
        <v>205.13</v>
      </c>
      <c r="O415">
        <v>14.946</v>
      </c>
      <c r="P415">
        <v>28.548999999999999</v>
      </c>
      <c r="Q415">
        <v>58.642000000000003</v>
      </c>
      <c r="R415">
        <v>41.357999999999997</v>
      </c>
      <c r="S415">
        <v>58.642000000000003</v>
      </c>
      <c r="T415">
        <v>336.38</v>
      </c>
      <c r="U415">
        <v>97.08</v>
      </c>
      <c r="V415">
        <v>16.100000000000001</v>
      </c>
      <c r="W415">
        <v>0.8</v>
      </c>
      <c r="X415">
        <v>5</v>
      </c>
    </row>
    <row r="416" spans="1:25" x14ac:dyDescent="0.25">
      <c r="A416" t="s">
        <v>68</v>
      </c>
      <c r="B416" t="s">
        <v>38</v>
      </c>
      <c r="C416" t="s">
        <v>35</v>
      </c>
      <c r="D416">
        <v>2025</v>
      </c>
      <c r="E416">
        <v>84075075</v>
      </c>
      <c r="G416">
        <v>500.47</v>
      </c>
      <c r="H416">
        <v>520.27</v>
      </c>
      <c r="I416">
        <v>89.62</v>
      </c>
      <c r="J416">
        <v>136.03</v>
      </c>
      <c r="K416">
        <v>295.74</v>
      </c>
      <c r="L416">
        <v>19.559999999999999</v>
      </c>
      <c r="M416">
        <v>0</v>
      </c>
      <c r="N416">
        <v>204.73</v>
      </c>
      <c r="O416">
        <v>17.907</v>
      </c>
      <c r="P416">
        <v>27.18</v>
      </c>
      <c r="Q416">
        <v>59.091999999999999</v>
      </c>
      <c r="R416">
        <v>40.908000000000001</v>
      </c>
      <c r="S416">
        <v>59.091999999999999</v>
      </c>
      <c r="T416">
        <v>329.65</v>
      </c>
      <c r="U416">
        <v>101.54</v>
      </c>
      <c r="V416">
        <v>20.9</v>
      </c>
      <c r="W416">
        <v>-3.9</v>
      </c>
      <c r="X416">
        <v>1.7</v>
      </c>
    </row>
    <row r="417" spans="1:25" x14ac:dyDescent="0.25">
      <c r="A417" t="s">
        <v>72</v>
      </c>
      <c r="B417" t="s">
        <v>41</v>
      </c>
      <c r="C417" t="s">
        <v>27</v>
      </c>
      <c r="D417">
        <v>2000</v>
      </c>
      <c r="E417">
        <v>1057922731</v>
      </c>
      <c r="F417">
        <v>2804478499774</v>
      </c>
      <c r="G417">
        <v>571.39</v>
      </c>
      <c r="H417">
        <v>572.69000000000005</v>
      </c>
      <c r="I417">
        <v>0.01</v>
      </c>
      <c r="J417">
        <v>1.58</v>
      </c>
      <c r="K417">
        <v>80.27</v>
      </c>
      <c r="L417">
        <v>76.989999999999995</v>
      </c>
      <c r="M417">
        <v>15.77</v>
      </c>
      <c r="N417">
        <v>475.35</v>
      </c>
      <c r="O417">
        <v>2E-3</v>
      </c>
      <c r="P417">
        <v>0.27700000000000002</v>
      </c>
      <c r="Q417">
        <v>14.048</v>
      </c>
      <c r="R417">
        <v>83.191999999999993</v>
      </c>
      <c r="S417">
        <v>16.808</v>
      </c>
      <c r="T417">
        <v>740.04</v>
      </c>
      <c r="U417">
        <v>0.72</v>
      </c>
    </row>
    <row r="418" spans="1:25" x14ac:dyDescent="0.25">
      <c r="A418" t="s">
        <v>72</v>
      </c>
      <c r="B418" t="s">
        <v>41</v>
      </c>
      <c r="C418" t="s">
        <v>27</v>
      </c>
      <c r="D418">
        <v>2001</v>
      </c>
      <c r="E418">
        <v>1077898579</v>
      </c>
      <c r="F418">
        <v>2940745466088</v>
      </c>
      <c r="G418">
        <v>586.09</v>
      </c>
      <c r="H418">
        <v>587.38</v>
      </c>
      <c r="I418">
        <v>0.01</v>
      </c>
      <c r="J418">
        <v>2.09</v>
      </c>
      <c r="K418">
        <v>76.19</v>
      </c>
      <c r="L418">
        <v>72.02</v>
      </c>
      <c r="M418">
        <v>18.89</v>
      </c>
      <c r="N418">
        <v>491.01</v>
      </c>
      <c r="O418">
        <v>2E-3</v>
      </c>
      <c r="P418">
        <v>0.35699999999999998</v>
      </c>
      <c r="Q418">
        <v>13</v>
      </c>
      <c r="R418">
        <v>83.777000000000001</v>
      </c>
      <c r="S418">
        <v>16.222999999999999</v>
      </c>
      <c r="T418">
        <v>747.39</v>
      </c>
      <c r="U418">
        <v>0.94</v>
      </c>
      <c r="V418">
        <v>0</v>
      </c>
      <c r="W418">
        <v>32.299999999999997</v>
      </c>
      <c r="X418">
        <v>-5.0999999999999996</v>
      </c>
    </row>
    <row r="419" spans="1:25" x14ac:dyDescent="0.25">
      <c r="A419" t="s">
        <v>72</v>
      </c>
      <c r="B419" t="s">
        <v>41</v>
      </c>
      <c r="C419" t="s">
        <v>27</v>
      </c>
      <c r="D419">
        <v>2002</v>
      </c>
      <c r="E419">
        <v>1097600380</v>
      </c>
      <c r="F419">
        <v>3024984520809</v>
      </c>
      <c r="G419">
        <v>609.64</v>
      </c>
      <c r="H419">
        <v>610.99</v>
      </c>
      <c r="I419">
        <v>0.01</v>
      </c>
      <c r="J419">
        <v>2.09</v>
      </c>
      <c r="K419">
        <v>72.78</v>
      </c>
      <c r="L419">
        <v>68.540000000000006</v>
      </c>
      <c r="M419">
        <v>19.350000000000001</v>
      </c>
      <c r="N419">
        <v>517.51</v>
      </c>
      <c r="O419">
        <v>2E-3</v>
      </c>
      <c r="P419">
        <v>0.34300000000000003</v>
      </c>
      <c r="Q419">
        <v>11.938000000000001</v>
      </c>
      <c r="R419">
        <v>84.888000000000005</v>
      </c>
      <c r="S419">
        <v>15.112</v>
      </c>
      <c r="T419">
        <v>755.76</v>
      </c>
      <c r="U419">
        <v>0.94</v>
      </c>
      <c r="V419">
        <v>0</v>
      </c>
      <c r="W419">
        <v>0</v>
      </c>
      <c r="X419">
        <v>-4.5</v>
      </c>
    </row>
    <row r="420" spans="1:25" x14ac:dyDescent="0.25">
      <c r="A420" t="s">
        <v>72</v>
      </c>
      <c r="B420" t="s">
        <v>41</v>
      </c>
      <c r="C420" t="s">
        <v>27</v>
      </c>
      <c r="D420">
        <v>2003</v>
      </c>
      <c r="E420">
        <v>1116803000</v>
      </c>
      <c r="F420">
        <v>3251114494190</v>
      </c>
      <c r="G420">
        <v>638.13</v>
      </c>
      <c r="H420">
        <v>639.82000000000005</v>
      </c>
      <c r="I420">
        <v>0.02</v>
      </c>
      <c r="J420">
        <v>2.6</v>
      </c>
      <c r="K420">
        <v>74.63</v>
      </c>
      <c r="L420">
        <v>69.3</v>
      </c>
      <c r="M420">
        <v>18.14</v>
      </c>
      <c r="N420">
        <v>545.36</v>
      </c>
      <c r="O420">
        <v>3.0000000000000001E-3</v>
      </c>
      <c r="P420">
        <v>0.40699999999999997</v>
      </c>
      <c r="Q420">
        <v>11.695</v>
      </c>
      <c r="R420">
        <v>85.462000000000003</v>
      </c>
      <c r="S420">
        <v>14.538</v>
      </c>
      <c r="T420">
        <v>758.01</v>
      </c>
      <c r="U420">
        <v>1.18</v>
      </c>
      <c r="V420">
        <v>100</v>
      </c>
      <c r="W420">
        <v>24.4</v>
      </c>
      <c r="X420">
        <v>2.5</v>
      </c>
    </row>
    <row r="421" spans="1:25" x14ac:dyDescent="0.25">
      <c r="A421" t="s">
        <v>72</v>
      </c>
      <c r="B421" t="s">
        <v>41</v>
      </c>
      <c r="C421" t="s">
        <v>27</v>
      </c>
      <c r="D421">
        <v>2004</v>
      </c>
      <c r="E421">
        <v>1135991509</v>
      </c>
      <c r="F421">
        <v>3495022816540</v>
      </c>
      <c r="G421">
        <v>698.32</v>
      </c>
      <c r="H421">
        <v>700.02</v>
      </c>
      <c r="I421">
        <v>0.02</v>
      </c>
      <c r="J421">
        <v>5.23</v>
      </c>
      <c r="K421">
        <v>109.2</v>
      </c>
      <c r="L421">
        <v>100.64</v>
      </c>
      <c r="M421">
        <v>21.26</v>
      </c>
      <c r="N421">
        <v>567.86</v>
      </c>
      <c r="O421">
        <v>3.0000000000000001E-3</v>
      </c>
      <c r="P421">
        <v>0.749</v>
      </c>
      <c r="Q421">
        <v>15.638</v>
      </c>
      <c r="R421">
        <v>81.317999999999998</v>
      </c>
      <c r="S421">
        <v>18.681999999999999</v>
      </c>
      <c r="T421">
        <v>723.79</v>
      </c>
      <c r="U421">
        <v>2.36</v>
      </c>
      <c r="V421">
        <v>0</v>
      </c>
      <c r="W421">
        <v>101.2</v>
      </c>
      <c r="X421">
        <v>46.3</v>
      </c>
    </row>
    <row r="422" spans="1:25" x14ac:dyDescent="0.25">
      <c r="A422" t="s">
        <v>72</v>
      </c>
      <c r="B422" t="s">
        <v>41</v>
      </c>
      <c r="C422" t="s">
        <v>27</v>
      </c>
      <c r="D422">
        <v>2005</v>
      </c>
      <c r="E422">
        <v>1154676321</v>
      </c>
      <c r="F422">
        <v>3752627653422</v>
      </c>
      <c r="G422">
        <v>704.52</v>
      </c>
      <c r="H422">
        <v>706.07</v>
      </c>
      <c r="I422">
        <v>0.02</v>
      </c>
      <c r="J422">
        <v>5.99</v>
      </c>
      <c r="K422">
        <v>107.47</v>
      </c>
      <c r="L422">
        <v>97.42</v>
      </c>
      <c r="M422">
        <v>17.73</v>
      </c>
      <c r="N422">
        <v>579.32000000000005</v>
      </c>
      <c r="O422">
        <v>3.0000000000000001E-3</v>
      </c>
      <c r="P422">
        <v>0.85</v>
      </c>
      <c r="Q422">
        <v>15.254</v>
      </c>
      <c r="R422">
        <v>82.228999999999999</v>
      </c>
      <c r="S422">
        <v>17.771000000000001</v>
      </c>
      <c r="T422">
        <v>734.03</v>
      </c>
      <c r="U422">
        <v>2.7</v>
      </c>
      <c r="V422">
        <v>0</v>
      </c>
      <c r="W422">
        <v>14.5</v>
      </c>
      <c r="X422">
        <v>-1.6</v>
      </c>
    </row>
    <row r="423" spans="1:25" x14ac:dyDescent="0.25">
      <c r="A423" t="s">
        <v>72</v>
      </c>
      <c r="B423" t="s">
        <v>41</v>
      </c>
      <c r="C423" t="s">
        <v>27</v>
      </c>
      <c r="D423">
        <v>2006</v>
      </c>
      <c r="E423">
        <v>1172878888</v>
      </c>
      <c r="F423">
        <v>4069856052453</v>
      </c>
      <c r="G423">
        <v>744.43</v>
      </c>
      <c r="H423">
        <v>747.17</v>
      </c>
      <c r="I423">
        <v>0.01</v>
      </c>
      <c r="J423">
        <v>9.34</v>
      </c>
      <c r="K423">
        <v>127.56</v>
      </c>
      <c r="L423">
        <v>112.62</v>
      </c>
      <c r="M423">
        <v>17.63</v>
      </c>
      <c r="N423">
        <v>599.24</v>
      </c>
      <c r="O423">
        <v>1E-3</v>
      </c>
      <c r="P423">
        <v>1.2549999999999999</v>
      </c>
      <c r="Q423">
        <v>17.135000000000002</v>
      </c>
      <c r="R423">
        <v>80.495999999999995</v>
      </c>
      <c r="S423">
        <v>19.504000000000001</v>
      </c>
      <c r="T423">
        <v>723.04</v>
      </c>
      <c r="U423">
        <v>4.21</v>
      </c>
      <c r="V423">
        <v>-50</v>
      </c>
      <c r="W423">
        <v>55.9</v>
      </c>
      <c r="X423">
        <v>18.7</v>
      </c>
    </row>
    <row r="424" spans="1:25" x14ac:dyDescent="0.25">
      <c r="A424" t="s">
        <v>72</v>
      </c>
      <c r="B424" t="s">
        <v>41</v>
      </c>
      <c r="C424" t="s">
        <v>27</v>
      </c>
      <c r="D424">
        <v>2007</v>
      </c>
      <c r="E424">
        <v>1190676028</v>
      </c>
      <c r="F424">
        <v>4403215224414</v>
      </c>
      <c r="G424">
        <v>796.26</v>
      </c>
      <c r="H424">
        <v>801.2</v>
      </c>
      <c r="I424">
        <v>0.06</v>
      </c>
      <c r="J424">
        <v>11.68</v>
      </c>
      <c r="K424">
        <v>141.75</v>
      </c>
      <c r="L424">
        <v>122.61</v>
      </c>
      <c r="M424">
        <v>17.829999999999998</v>
      </c>
      <c r="N424">
        <v>636.67999999999995</v>
      </c>
      <c r="O424">
        <v>8.0000000000000002E-3</v>
      </c>
      <c r="P424">
        <v>1.4670000000000001</v>
      </c>
      <c r="Q424">
        <v>17.802</v>
      </c>
      <c r="R424">
        <v>79.959000000000003</v>
      </c>
      <c r="S424">
        <v>20.041</v>
      </c>
      <c r="T424">
        <v>717.87</v>
      </c>
      <c r="U424">
        <v>5.28</v>
      </c>
      <c r="V424">
        <v>500</v>
      </c>
      <c r="W424">
        <v>25.1</v>
      </c>
      <c r="X424">
        <v>11.1</v>
      </c>
    </row>
    <row r="425" spans="1:25" x14ac:dyDescent="0.25">
      <c r="A425" t="s">
        <v>72</v>
      </c>
      <c r="B425" t="s">
        <v>41</v>
      </c>
      <c r="C425" t="s">
        <v>27</v>
      </c>
      <c r="D425">
        <v>2008</v>
      </c>
      <c r="E425">
        <v>1207930960</v>
      </c>
      <c r="F425">
        <v>4649548164533</v>
      </c>
      <c r="G425">
        <v>828.41</v>
      </c>
      <c r="H425">
        <v>834.25</v>
      </c>
      <c r="I425">
        <v>0.06</v>
      </c>
      <c r="J425">
        <v>14.38</v>
      </c>
      <c r="K425">
        <v>138.91</v>
      </c>
      <c r="L425">
        <v>115.17</v>
      </c>
      <c r="M425">
        <v>15.23</v>
      </c>
      <c r="N425">
        <v>674.27</v>
      </c>
      <c r="O425">
        <v>7.0000000000000001E-3</v>
      </c>
      <c r="P425">
        <v>1.736</v>
      </c>
      <c r="Q425">
        <v>16.768000000000001</v>
      </c>
      <c r="R425">
        <v>81.393000000000001</v>
      </c>
      <c r="S425">
        <v>18.606999999999999</v>
      </c>
      <c r="T425">
        <v>733.08</v>
      </c>
      <c r="U425">
        <v>6.5</v>
      </c>
      <c r="V425">
        <v>0</v>
      </c>
      <c r="W425">
        <v>23.1</v>
      </c>
      <c r="X425">
        <v>-2</v>
      </c>
    </row>
    <row r="426" spans="1:25" x14ac:dyDescent="0.25">
      <c r="A426" t="s">
        <v>72</v>
      </c>
      <c r="B426" t="s">
        <v>41</v>
      </c>
      <c r="C426" t="s">
        <v>27</v>
      </c>
      <c r="D426">
        <v>2009</v>
      </c>
      <c r="E426">
        <v>1225524764</v>
      </c>
      <c r="F426">
        <v>4993478894185</v>
      </c>
      <c r="G426">
        <v>878.63</v>
      </c>
      <c r="H426">
        <v>883.93</v>
      </c>
      <c r="I426">
        <v>0.08</v>
      </c>
      <c r="J426">
        <v>16.27</v>
      </c>
      <c r="K426">
        <v>133.25</v>
      </c>
      <c r="L426">
        <v>106.34</v>
      </c>
      <c r="M426">
        <v>16.82</v>
      </c>
      <c r="N426">
        <v>728.56</v>
      </c>
      <c r="O426">
        <v>8.9999999999999993E-3</v>
      </c>
      <c r="P426">
        <v>1.8520000000000001</v>
      </c>
      <c r="Q426">
        <v>15.166</v>
      </c>
      <c r="R426">
        <v>82.92</v>
      </c>
      <c r="S426">
        <v>17.079999999999998</v>
      </c>
      <c r="T426">
        <v>744.55</v>
      </c>
      <c r="U426">
        <v>7.36</v>
      </c>
      <c r="V426">
        <v>33.299999999999997</v>
      </c>
      <c r="W426">
        <v>13.1</v>
      </c>
      <c r="X426">
        <v>-4.0999999999999996</v>
      </c>
    </row>
    <row r="427" spans="1:25" x14ac:dyDescent="0.25">
      <c r="A427" t="s">
        <v>72</v>
      </c>
      <c r="B427" t="s">
        <v>41</v>
      </c>
      <c r="C427" t="s">
        <v>27</v>
      </c>
      <c r="D427">
        <v>2010</v>
      </c>
      <c r="E427">
        <v>1243481565</v>
      </c>
      <c r="F427">
        <v>5361371354007</v>
      </c>
      <c r="G427">
        <v>936.39</v>
      </c>
      <c r="H427">
        <v>941.94</v>
      </c>
      <c r="I427">
        <v>0.11</v>
      </c>
      <c r="J427">
        <v>19.46</v>
      </c>
      <c r="K427">
        <v>141.53</v>
      </c>
      <c r="L427">
        <v>108.74</v>
      </c>
      <c r="M427">
        <v>23.08</v>
      </c>
      <c r="N427">
        <v>771.78</v>
      </c>
      <c r="O427">
        <v>1.2E-2</v>
      </c>
      <c r="P427">
        <v>2.0779999999999998</v>
      </c>
      <c r="Q427">
        <v>15.114000000000001</v>
      </c>
      <c r="R427">
        <v>82.421000000000006</v>
      </c>
      <c r="S427">
        <v>17.579000000000001</v>
      </c>
      <c r="T427">
        <v>739.43</v>
      </c>
      <c r="U427">
        <v>8.81</v>
      </c>
      <c r="V427">
        <v>37.5</v>
      </c>
      <c r="W427">
        <v>19.600000000000001</v>
      </c>
      <c r="X427">
        <v>6.2</v>
      </c>
    </row>
    <row r="428" spans="1:25" x14ac:dyDescent="0.25">
      <c r="A428" t="s">
        <v>72</v>
      </c>
      <c r="B428" t="s">
        <v>41</v>
      </c>
      <c r="C428" t="s">
        <v>27</v>
      </c>
      <c r="D428">
        <v>2011</v>
      </c>
      <c r="E428">
        <v>1261224956</v>
      </c>
      <c r="F428">
        <v>5720692888000</v>
      </c>
      <c r="G428">
        <v>1032.32</v>
      </c>
      <c r="H428">
        <v>1037.44</v>
      </c>
      <c r="I428">
        <v>0.83</v>
      </c>
      <c r="J428">
        <v>23.95</v>
      </c>
      <c r="K428">
        <v>171.94</v>
      </c>
      <c r="L428">
        <v>131.69999999999999</v>
      </c>
      <c r="M428">
        <v>32.22</v>
      </c>
      <c r="N428">
        <v>828.16</v>
      </c>
      <c r="O428">
        <v>0.08</v>
      </c>
      <c r="P428">
        <v>2.3199999999999998</v>
      </c>
      <c r="Q428">
        <v>16.655999999999999</v>
      </c>
      <c r="R428">
        <v>80.222999999999999</v>
      </c>
      <c r="S428">
        <v>19.777000000000001</v>
      </c>
      <c r="T428">
        <v>722.11</v>
      </c>
      <c r="U428">
        <v>11.15</v>
      </c>
      <c r="V428">
        <v>654.5</v>
      </c>
      <c r="W428">
        <v>23.1</v>
      </c>
      <c r="X428">
        <v>21.5</v>
      </c>
    </row>
    <row r="429" spans="1:25" x14ac:dyDescent="0.25">
      <c r="A429" t="s">
        <v>72</v>
      </c>
      <c r="B429" t="s">
        <v>41</v>
      </c>
      <c r="C429" t="s">
        <v>27</v>
      </c>
      <c r="D429">
        <v>2012</v>
      </c>
      <c r="E429">
        <v>1278674501</v>
      </c>
      <c r="F429">
        <v>6052427493607</v>
      </c>
      <c r="G429">
        <v>1088.42</v>
      </c>
      <c r="H429">
        <v>1093.06</v>
      </c>
      <c r="I429">
        <v>2.1</v>
      </c>
      <c r="J429">
        <v>27.43</v>
      </c>
      <c r="K429">
        <v>161.83000000000001</v>
      </c>
      <c r="L429">
        <v>115.78</v>
      </c>
      <c r="M429">
        <v>33.14</v>
      </c>
      <c r="N429">
        <v>893.45</v>
      </c>
      <c r="O429">
        <v>0.193</v>
      </c>
      <c r="P429">
        <v>2.52</v>
      </c>
      <c r="Q429">
        <v>14.868</v>
      </c>
      <c r="R429">
        <v>82.087000000000003</v>
      </c>
      <c r="S429">
        <v>17.913</v>
      </c>
      <c r="T429">
        <v>742.86</v>
      </c>
      <c r="U429">
        <v>13.29</v>
      </c>
      <c r="V429">
        <v>153</v>
      </c>
      <c r="W429">
        <v>14.5</v>
      </c>
      <c r="X429">
        <v>-5.9</v>
      </c>
    </row>
    <row r="430" spans="1:25" x14ac:dyDescent="0.25">
      <c r="A430" t="s">
        <v>72</v>
      </c>
      <c r="B430" t="s">
        <v>41</v>
      </c>
      <c r="C430" t="s">
        <v>27</v>
      </c>
      <c r="D430">
        <v>2013</v>
      </c>
      <c r="E430">
        <v>1295829507</v>
      </c>
      <c r="F430">
        <v>6424470752490</v>
      </c>
      <c r="G430">
        <v>1141.23</v>
      </c>
      <c r="H430">
        <v>1145.18</v>
      </c>
      <c r="I430">
        <v>3.43</v>
      </c>
      <c r="J430">
        <v>30.01</v>
      </c>
      <c r="K430">
        <v>182.99</v>
      </c>
      <c r="L430">
        <v>131.97999999999999</v>
      </c>
      <c r="M430">
        <v>33.31</v>
      </c>
      <c r="N430">
        <v>924.93</v>
      </c>
      <c r="O430">
        <v>0.30099999999999999</v>
      </c>
      <c r="P430">
        <v>2.63</v>
      </c>
      <c r="Q430">
        <v>16.033999999999999</v>
      </c>
      <c r="R430">
        <v>81.046999999999997</v>
      </c>
      <c r="S430">
        <v>18.952999999999999</v>
      </c>
      <c r="T430">
        <v>738.99</v>
      </c>
      <c r="U430">
        <v>15.05</v>
      </c>
      <c r="V430">
        <v>63.3</v>
      </c>
      <c r="W430">
        <v>9.4</v>
      </c>
      <c r="X430">
        <v>13.1</v>
      </c>
    </row>
    <row r="431" spans="1:25" x14ac:dyDescent="0.25">
      <c r="A431" t="s">
        <v>72</v>
      </c>
      <c r="B431" t="s">
        <v>41</v>
      </c>
      <c r="C431" t="s">
        <v>27</v>
      </c>
      <c r="D431">
        <v>2014</v>
      </c>
      <c r="E431">
        <v>1312277184</v>
      </c>
      <c r="F431">
        <v>6875186158349</v>
      </c>
      <c r="G431">
        <v>1258.68</v>
      </c>
      <c r="H431">
        <v>1259.25</v>
      </c>
      <c r="I431">
        <v>4.91</v>
      </c>
      <c r="J431">
        <v>33.450000000000003</v>
      </c>
      <c r="K431">
        <v>198.5</v>
      </c>
      <c r="L431">
        <v>139</v>
      </c>
      <c r="M431">
        <v>34.69</v>
      </c>
      <c r="N431">
        <v>1025.49</v>
      </c>
      <c r="O431">
        <v>0.39</v>
      </c>
      <c r="P431">
        <v>2.6579999999999999</v>
      </c>
      <c r="Q431">
        <v>15.77</v>
      </c>
      <c r="R431">
        <v>81.472999999999999</v>
      </c>
      <c r="S431">
        <v>18.527000000000001</v>
      </c>
      <c r="T431">
        <v>743.22</v>
      </c>
      <c r="U431">
        <v>17.260000000000002</v>
      </c>
      <c r="V431">
        <v>43.1</v>
      </c>
      <c r="W431">
        <v>11.5</v>
      </c>
      <c r="X431">
        <v>8.5</v>
      </c>
    </row>
    <row r="432" spans="1:25" x14ac:dyDescent="0.25">
      <c r="A432" t="s">
        <v>72</v>
      </c>
      <c r="B432" t="s">
        <v>41</v>
      </c>
      <c r="C432" t="s">
        <v>27</v>
      </c>
      <c r="D432">
        <v>2015</v>
      </c>
      <c r="E432">
        <v>1328024494</v>
      </c>
      <c r="F432">
        <v>7391521519812</v>
      </c>
      <c r="G432">
        <v>1310.56</v>
      </c>
      <c r="H432">
        <v>1310.6500000000001</v>
      </c>
      <c r="I432">
        <v>7.09</v>
      </c>
      <c r="J432">
        <v>32.74</v>
      </c>
      <c r="K432">
        <v>191.67</v>
      </c>
      <c r="L432">
        <v>133.47999999999999</v>
      </c>
      <c r="M432">
        <v>38.31</v>
      </c>
      <c r="N432">
        <v>1080.58</v>
      </c>
      <c r="O432">
        <v>0.54100000000000004</v>
      </c>
      <c r="P432">
        <v>2.4980000000000002</v>
      </c>
      <c r="Q432">
        <v>14.625</v>
      </c>
      <c r="R432">
        <v>82.451999999999998</v>
      </c>
      <c r="S432">
        <v>17.547999999999998</v>
      </c>
      <c r="T432">
        <v>750.63</v>
      </c>
      <c r="U432">
        <v>17.920000000000002</v>
      </c>
      <c r="V432">
        <v>44.4</v>
      </c>
      <c r="W432">
        <v>-2.1</v>
      </c>
      <c r="X432">
        <v>-3.4</v>
      </c>
      <c r="Y432" t="s">
        <v>73</v>
      </c>
    </row>
    <row r="433" spans="1:25" x14ac:dyDescent="0.25">
      <c r="A433" t="s">
        <v>72</v>
      </c>
      <c r="B433" t="s">
        <v>41</v>
      </c>
      <c r="C433" t="s">
        <v>27</v>
      </c>
      <c r="D433">
        <v>2016</v>
      </c>
      <c r="E433">
        <v>1343944296</v>
      </c>
      <c r="F433">
        <v>8057465593010</v>
      </c>
      <c r="G433">
        <v>1394.93</v>
      </c>
      <c r="H433">
        <v>1393.84</v>
      </c>
      <c r="I433">
        <v>12.2</v>
      </c>
      <c r="J433">
        <v>43.45</v>
      </c>
      <c r="K433">
        <v>201.4</v>
      </c>
      <c r="L433">
        <v>128.55000000000001</v>
      </c>
      <c r="M433">
        <v>37.9</v>
      </c>
      <c r="N433">
        <v>1155.6300000000001</v>
      </c>
      <c r="O433">
        <v>0.875</v>
      </c>
      <c r="P433">
        <v>3.1150000000000002</v>
      </c>
      <c r="Q433">
        <v>14.438000000000001</v>
      </c>
      <c r="R433">
        <v>82.844999999999999</v>
      </c>
      <c r="S433">
        <v>17.155000000000001</v>
      </c>
      <c r="T433">
        <v>751.87</v>
      </c>
      <c r="U433">
        <v>25.04</v>
      </c>
      <c r="V433">
        <v>72.099999999999994</v>
      </c>
      <c r="W433">
        <v>32.700000000000003</v>
      </c>
      <c r="X433">
        <v>5.0999999999999996</v>
      </c>
    </row>
    <row r="434" spans="1:25" x14ac:dyDescent="0.25">
      <c r="A434" t="s">
        <v>72</v>
      </c>
      <c r="B434" t="s">
        <v>41</v>
      </c>
      <c r="C434" t="s">
        <v>27</v>
      </c>
      <c r="D434">
        <v>2017</v>
      </c>
      <c r="E434">
        <v>1359657398</v>
      </c>
      <c r="F434">
        <v>8550029645172</v>
      </c>
      <c r="G434">
        <v>1462.39</v>
      </c>
      <c r="H434">
        <v>1460.8</v>
      </c>
      <c r="I434">
        <v>22.36</v>
      </c>
      <c r="J434">
        <v>52.63</v>
      </c>
      <c r="K434">
        <v>225.96</v>
      </c>
      <c r="L434">
        <v>135.97999999999999</v>
      </c>
      <c r="M434">
        <v>37.409999999999997</v>
      </c>
      <c r="N434">
        <v>1199.02</v>
      </c>
      <c r="O434">
        <v>1.5289999999999999</v>
      </c>
      <c r="P434">
        <v>3.5990000000000002</v>
      </c>
      <c r="Q434">
        <v>15.451000000000001</v>
      </c>
      <c r="R434">
        <v>81.99</v>
      </c>
      <c r="S434">
        <v>18.010000000000002</v>
      </c>
      <c r="T434">
        <v>743.09</v>
      </c>
      <c r="U434">
        <v>33.75</v>
      </c>
      <c r="V434">
        <v>83.3</v>
      </c>
      <c r="W434">
        <v>21.1</v>
      </c>
      <c r="X434">
        <v>12.2</v>
      </c>
    </row>
    <row r="435" spans="1:25" x14ac:dyDescent="0.25">
      <c r="A435" t="s">
        <v>72</v>
      </c>
      <c r="B435" t="s">
        <v>41</v>
      </c>
      <c r="C435" t="s">
        <v>27</v>
      </c>
      <c r="D435">
        <v>2018</v>
      </c>
      <c r="E435">
        <v>1374659067</v>
      </c>
      <c r="F435">
        <v>9173201683791</v>
      </c>
      <c r="G435">
        <v>1571.65</v>
      </c>
      <c r="H435">
        <v>1567.81</v>
      </c>
      <c r="I435">
        <v>37.450000000000003</v>
      </c>
      <c r="J435">
        <v>60.31</v>
      </c>
      <c r="K435">
        <v>256.08</v>
      </c>
      <c r="L435">
        <v>139.91999999999999</v>
      </c>
      <c r="M435">
        <v>39.049999999999997</v>
      </c>
      <c r="N435">
        <v>1276.52</v>
      </c>
      <c r="O435">
        <v>2.383</v>
      </c>
      <c r="P435">
        <v>3.8370000000000002</v>
      </c>
      <c r="Q435">
        <v>16.294</v>
      </c>
      <c r="R435">
        <v>81.221999999999994</v>
      </c>
      <c r="S435">
        <v>18.777999999999999</v>
      </c>
      <c r="T435">
        <v>737.72</v>
      </c>
      <c r="U435">
        <v>43.99</v>
      </c>
      <c r="V435">
        <v>67.5</v>
      </c>
      <c r="W435">
        <v>14.6</v>
      </c>
      <c r="X435">
        <v>13.3</v>
      </c>
    </row>
    <row r="436" spans="1:25" x14ac:dyDescent="0.25">
      <c r="A436" t="s">
        <v>72</v>
      </c>
      <c r="B436" t="s">
        <v>41</v>
      </c>
      <c r="C436" t="s">
        <v>27</v>
      </c>
      <c r="D436">
        <v>2019</v>
      </c>
      <c r="E436">
        <v>1389030307</v>
      </c>
      <c r="F436">
        <v>9595463242427</v>
      </c>
      <c r="G436">
        <v>1600.98</v>
      </c>
      <c r="H436">
        <v>1597.84</v>
      </c>
      <c r="I436">
        <v>37.450000000000003</v>
      </c>
      <c r="J436">
        <v>63.31</v>
      </c>
      <c r="K436">
        <v>282.04000000000002</v>
      </c>
      <c r="L436">
        <v>162.29</v>
      </c>
      <c r="M436">
        <v>45.16</v>
      </c>
      <c r="N436">
        <v>1273.78</v>
      </c>
      <c r="O436">
        <v>2.339</v>
      </c>
      <c r="P436">
        <v>3.9540000000000002</v>
      </c>
      <c r="Q436">
        <v>17.617000000000001</v>
      </c>
      <c r="R436">
        <v>79.563000000000002</v>
      </c>
      <c r="S436">
        <v>20.437000000000001</v>
      </c>
      <c r="T436">
        <v>722.66</v>
      </c>
      <c r="U436">
        <v>45.34</v>
      </c>
      <c r="V436">
        <v>0</v>
      </c>
      <c r="W436">
        <v>5</v>
      </c>
      <c r="X436">
        <v>10.1</v>
      </c>
    </row>
    <row r="437" spans="1:25" x14ac:dyDescent="0.25">
      <c r="A437" t="s">
        <v>72</v>
      </c>
      <c r="B437" t="s">
        <v>41</v>
      </c>
      <c r="C437" t="s">
        <v>27</v>
      </c>
      <c r="D437">
        <v>2020</v>
      </c>
      <c r="E437">
        <v>1402617694</v>
      </c>
      <c r="F437">
        <v>8945313249462</v>
      </c>
      <c r="G437">
        <v>1563.43</v>
      </c>
      <c r="H437">
        <v>1563.32</v>
      </c>
      <c r="I437">
        <v>52.91</v>
      </c>
      <c r="J437">
        <v>60.43</v>
      </c>
      <c r="K437">
        <v>297.16000000000003</v>
      </c>
      <c r="L437">
        <v>163.94</v>
      </c>
      <c r="M437">
        <v>44.61</v>
      </c>
      <c r="N437">
        <v>1221.6600000000001</v>
      </c>
      <c r="O437">
        <v>3.3839999999999999</v>
      </c>
      <c r="P437">
        <v>3.8650000000000002</v>
      </c>
      <c r="Q437">
        <v>19.007000000000001</v>
      </c>
      <c r="R437">
        <v>78.14</v>
      </c>
      <c r="S437">
        <v>21.86</v>
      </c>
      <c r="T437">
        <v>709.06</v>
      </c>
      <c r="U437">
        <v>51</v>
      </c>
      <c r="V437">
        <v>41.3</v>
      </c>
      <c r="W437">
        <v>-4.5</v>
      </c>
      <c r="X437">
        <v>5.4</v>
      </c>
    </row>
    <row r="438" spans="1:25" x14ac:dyDescent="0.25">
      <c r="A438" t="s">
        <v>72</v>
      </c>
      <c r="B438" t="s">
        <v>41</v>
      </c>
      <c r="C438" t="s">
        <v>27</v>
      </c>
      <c r="D438">
        <v>2021</v>
      </c>
      <c r="E438">
        <v>1414203896</v>
      </c>
      <c r="F438">
        <v>9801621018003</v>
      </c>
      <c r="G438">
        <v>1678.72</v>
      </c>
      <c r="H438">
        <v>1678.69</v>
      </c>
      <c r="I438">
        <v>65.59</v>
      </c>
      <c r="J438">
        <v>68.09</v>
      </c>
      <c r="K438">
        <v>315.45</v>
      </c>
      <c r="L438">
        <v>160.57</v>
      </c>
      <c r="M438">
        <v>43.92</v>
      </c>
      <c r="N438">
        <v>1319.35</v>
      </c>
      <c r="O438">
        <v>3.907</v>
      </c>
      <c r="P438">
        <v>4.056</v>
      </c>
      <c r="Q438">
        <v>18.791</v>
      </c>
      <c r="R438">
        <v>78.593000000000004</v>
      </c>
      <c r="S438">
        <v>21.407</v>
      </c>
      <c r="T438">
        <v>715.34</v>
      </c>
      <c r="U438">
        <v>60.16</v>
      </c>
      <c r="V438">
        <v>24</v>
      </c>
      <c r="W438">
        <v>12.7</v>
      </c>
      <c r="X438">
        <v>6.2</v>
      </c>
      <c r="Y438" t="s">
        <v>74</v>
      </c>
    </row>
    <row r="439" spans="1:25" x14ac:dyDescent="0.25">
      <c r="A439" t="s">
        <v>72</v>
      </c>
      <c r="B439" t="s">
        <v>41</v>
      </c>
      <c r="C439" t="s">
        <v>27</v>
      </c>
      <c r="D439">
        <v>2022</v>
      </c>
      <c r="E439">
        <v>1425423209</v>
      </c>
      <c r="F439">
        <v>10476248645535</v>
      </c>
      <c r="G439">
        <v>1804.61</v>
      </c>
      <c r="H439">
        <v>1802.88</v>
      </c>
      <c r="I439">
        <v>95.92</v>
      </c>
      <c r="J439">
        <v>70.05</v>
      </c>
      <c r="K439">
        <v>364.35</v>
      </c>
      <c r="L439">
        <v>175.09</v>
      </c>
      <c r="M439">
        <v>46.19</v>
      </c>
      <c r="N439">
        <v>1394.07</v>
      </c>
      <c r="O439">
        <v>5.3150000000000004</v>
      </c>
      <c r="P439">
        <v>3.8820000000000001</v>
      </c>
      <c r="Q439">
        <v>20.190000000000001</v>
      </c>
      <c r="R439">
        <v>77.25</v>
      </c>
      <c r="S439">
        <v>22.75</v>
      </c>
      <c r="T439">
        <v>705.75</v>
      </c>
      <c r="U439">
        <v>74.69</v>
      </c>
      <c r="V439">
        <v>46.2</v>
      </c>
      <c r="W439">
        <v>2.9</v>
      </c>
      <c r="X439">
        <v>15.5</v>
      </c>
    </row>
    <row r="440" spans="1:25" x14ac:dyDescent="0.25">
      <c r="A440" t="s">
        <v>72</v>
      </c>
      <c r="B440" t="s">
        <v>41</v>
      </c>
      <c r="C440" t="s">
        <v>27</v>
      </c>
      <c r="D440">
        <v>2023</v>
      </c>
      <c r="E440">
        <v>1438069597</v>
      </c>
      <c r="G440">
        <v>1918.26</v>
      </c>
      <c r="H440">
        <v>1916.2</v>
      </c>
      <c r="I440">
        <v>115.42</v>
      </c>
      <c r="J440">
        <v>82.11</v>
      </c>
      <c r="K440">
        <v>369.97</v>
      </c>
      <c r="L440">
        <v>149.43</v>
      </c>
      <c r="M440">
        <v>48.2</v>
      </c>
      <c r="N440">
        <v>1500.09</v>
      </c>
      <c r="O440">
        <v>6.0170000000000003</v>
      </c>
      <c r="P440">
        <v>4.28</v>
      </c>
      <c r="Q440">
        <v>19.286999999999999</v>
      </c>
      <c r="R440">
        <v>78.200999999999993</v>
      </c>
      <c r="S440">
        <v>21.798999999999999</v>
      </c>
      <c r="T440">
        <v>713.36</v>
      </c>
      <c r="U440">
        <v>88.89</v>
      </c>
      <c r="V440">
        <v>20.3</v>
      </c>
      <c r="W440">
        <v>17.2</v>
      </c>
      <c r="X440">
        <v>1.5</v>
      </c>
    </row>
    <row r="441" spans="1:25" x14ac:dyDescent="0.25">
      <c r="A441" t="s">
        <v>72</v>
      </c>
      <c r="B441" t="s">
        <v>41</v>
      </c>
      <c r="C441" t="s">
        <v>27</v>
      </c>
      <c r="D441">
        <v>2024</v>
      </c>
      <c r="E441">
        <v>1450935785</v>
      </c>
      <c r="G441">
        <v>2036.52</v>
      </c>
      <c r="H441">
        <v>2034.22</v>
      </c>
      <c r="I441">
        <v>143.07</v>
      </c>
      <c r="J441">
        <v>81.540000000000006</v>
      </c>
      <c r="K441">
        <v>403.39</v>
      </c>
      <c r="L441">
        <v>156.53</v>
      </c>
      <c r="M441">
        <v>54.7</v>
      </c>
      <c r="N441">
        <v>1578.43</v>
      </c>
      <c r="O441">
        <v>7.0250000000000004</v>
      </c>
      <c r="P441">
        <v>4.0039999999999996</v>
      </c>
      <c r="Q441">
        <v>19.808</v>
      </c>
      <c r="R441">
        <v>77.506</v>
      </c>
      <c r="S441">
        <v>22.494</v>
      </c>
      <c r="T441">
        <v>705.4</v>
      </c>
      <c r="U441">
        <v>101.07</v>
      </c>
      <c r="V441">
        <v>24</v>
      </c>
      <c r="W441">
        <v>-0.7</v>
      </c>
      <c r="X441">
        <v>9</v>
      </c>
    </row>
    <row r="442" spans="1:25" x14ac:dyDescent="0.25">
      <c r="A442" t="s">
        <v>72</v>
      </c>
      <c r="B442" t="s">
        <v>41</v>
      </c>
      <c r="C442" t="s">
        <v>27</v>
      </c>
      <c r="D442">
        <v>2025</v>
      </c>
      <c r="E442">
        <v>1463865527</v>
      </c>
      <c r="G442">
        <v>2081.6</v>
      </c>
      <c r="H442">
        <v>2082.8200000000002</v>
      </c>
      <c r="I442">
        <v>195.99</v>
      </c>
      <c r="J442">
        <v>103.98</v>
      </c>
      <c r="K442">
        <v>500.98</v>
      </c>
      <c r="L442">
        <v>177.97</v>
      </c>
      <c r="M442">
        <v>53.83</v>
      </c>
      <c r="N442">
        <v>1526.79</v>
      </c>
      <c r="O442">
        <v>9.4149999999999991</v>
      </c>
      <c r="P442">
        <v>4.9950000000000001</v>
      </c>
      <c r="Q442">
        <v>24.067</v>
      </c>
      <c r="R442">
        <v>73.346999999999994</v>
      </c>
      <c r="S442">
        <v>26.652999999999999</v>
      </c>
      <c r="T442">
        <v>670.13</v>
      </c>
      <c r="U442">
        <v>134.99</v>
      </c>
      <c r="V442">
        <v>37</v>
      </c>
      <c r="W442">
        <v>27.5</v>
      </c>
      <c r="X442">
        <v>24.2</v>
      </c>
    </row>
    <row r="443" spans="1:25" x14ac:dyDescent="0.25">
      <c r="A443" t="s">
        <v>75</v>
      </c>
      <c r="B443" t="s">
        <v>41</v>
      </c>
      <c r="C443" t="s">
        <v>31</v>
      </c>
      <c r="D443">
        <v>2000</v>
      </c>
      <c r="E443">
        <v>216077789</v>
      </c>
      <c r="F443">
        <v>1138300071768</v>
      </c>
      <c r="G443">
        <v>98.04</v>
      </c>
      <c r="H443">
        <v>98.04</v>
      </c>
      <c r="I443">
        <v>0</v>
      </c>
      <c r="J443">
        <v>0</v>
      </c>
      <c r="K443">
        <v>19.600000000000001</v>
      </c>
      <c r="L443">
        <v>10.02</v>
      </c>
      <c r="M443">
        <v>0</v>
      </c>
      <c r="N443">
        <v>78.44</v>
      </c>
      <c r="O443">
        <v>0</v>
      </c>
      <c r="P443">
        <v>0</v>
      </c>
      <c r="Q443">
        <v>19.992000000000001</v>
      </c>
      <c r="R443">
        <v>80.007999999999996</v>
      </c>
      <c r="S443">
        <v>19.992000000000001</v>
      </c>
      <c r="T443">
        <v>630.66</v>
      </c>
      <c r="U443">
        <v>0</v>
      </c>
    </row>
    <row r="444" spans="1:25" x14ac:dyDescent="0.25">
      <c r="A444" t="s">
        <v>75</v>
      </c>
      <c r="B444" t="s">
        <v>41</v>
      </c>
      <c r="C444" t="s">
        <v>31</v>
      </c>
      <c r="D444">
        <v>2001</v>
      </c>
      <c r="E444">
        <v>219097905</v>
      </c>
      <c r="F444">
        <v>1185220908414</v>
      </c>
      <c r="G444">
        <v>106.16</v>
      </c>
      <c r="H444">
        <v>106.16</v>
      </c>
      <c r="I444">
        <v>0</v>
      </c>
      <c r="J444">
        <v>0</v>
      </c>
      <c r="K444">
        <v>22.19</v>
      </c>
      <c r="L444">
        <v>11.65</v>
      </c>
      <c r="M444">
        <v>0</v>
      </c>
      <c r="N444">
        <v>83.97</v>
      </c>
      <c r="O444">
        <v>0</v>
      </c>
      <c r="P444">
        <v>0</v>
      </c>
      <c r="Q444">
        <v>20.902000000000001</v>
      </c>
      <c r="R444">
        <v>79.097999999999999</v>
      </c>
      <c r="S444">
        <v>20.902000000000001</v>
      </c>
      <c r="T444">
        <v>626.04</v>
      </c>
      <c r="U444">
        <v>0</v>
      </c>
      <c r="X444">
        <v>13.2</v>
      </c>
    </row>
    <row r="445" spans="1:25" x14ac:dyDescent="0.25">
      <c r="A445" t="s">
        <v>75</v>
      </c>
      <c r="B445" t="s">
        <v>41</v>
      </c>
      <c r="C445" t="s">
        <v>31</v>
      </c>
      <c r="D445">
        <v>2002</v>
      </c>
      <c r="E445">
        <v>222088499</v>
      </c>
      <c r="F445">
        <v>1244249942443</v>
      </c>
      <c r="G445">
        <v>113.04</v>
      </c>
      <c r="H445">
        <v>113.04</v>
      </c>
      <c r="I445">
        <v>0</v>
      </c>
      <c r="J445">
        <v>0</v>
      </c>
      <c r="K445">
        <v>21</v>
      </c>
      <c r="L445">
        <v>9.93</v>
      </c>
      <c r="M445">
        <v>0</v>
      </c>
      <c r="N445">
        <v>92.04</v>
      </c>
      <c r="O445">
        <v>0</v>
      </c>
      <c r="P445">
        <v>0</v>
      </c>
      <c r="Q445">
        <v>18.577000000000002</v>
      </c>
      <c r="R445">
        <v>81.423000000000002</v>
      </c>
      <c r="S445">
        <v>18.577000000000002</v>
      </c>
      <c r="T445">
        <v>643.49</v>
      </c>
      <c r="U445">
        <v>0</v>
      </c>
      <c r="X445">
        <v>-5.4</v>
      </c>
    </row>
    <row r="446" spans="1:25" x14ac:dyDescent="0.25">
      <c r="A446" t="s">
        <v>75</v>
      </c>
      <c r="B446" t="s">
        <v>41</v>
      </c>
      <c r="C446" t="s">
        <v>31</v>
      </c>
      <c r="D446">
        <v>2003</v>
      </c>
      <c r="E446">
        <v>225048005</v>
      </c>
      <c r="F446">
        <v>1309811268640</v>
      </c>
      <c r="G446">
        <v>117.39</v>
      </c>
      <c r="H446">
        <v>117.39</v>
      </c>
      <c r="I446">
        <v>0</v>
      </c>
      <c r="J446">
        <v>0</v>
      </c>
      <c r="K446">
        <v>19.82</v>
      </c>
      <c r="L446">
        <v>9.1</v>
      </c>
      <c r="M446">
        <v>0</v>
      </c>
      <c r="N446">
        <v>97.57</v>
      </c>
      <c r="O446">
        <v>0</v>
      </c>
      <c r="P446">
        <v>0</v>
      </c>
      <c r="Q446">
        <v>16.884</v>
      </c>
      <c r="R446">
        <v>83.116</v>
      </c>
      <c r="S446">
        <v>16.884</v>
      </c>
      <c r="T446">
        <v>656.53</v>
      </c>
      <c r="U446">
        <v>0</v>
      </c>
      <c r="X446">
        <v>-5.6</v>
      </c>
    </row>
    <row r="447" spans="1:25" x14ac:dyDescent="0.25">
      <c r="A447" t="s">
        <v>75</v>
      </c>
      <c r="B447" t="s">
        <v>41</v>
      </c>
      <c r="C447" t="s">
        <v>31</v>
      </c>
      <c r="D447">
        <v>2004</v>
      </c>
      <c r="E447">
        <v>227926649</v>
      </c>
      <c r="F447">
        <v>1387446383159</v>
      </c>
      <c r="G447">
        <v>124.78</v>
      </c>
      <c r="H447">
        <v>124.78</v>
      </c>
      <c r="I447">
        <v>0</v>
      </c>
      <c r="J447">
        <v>0</v>
      </c>
      <c r="K447">
        <v>20.97</v>
      </c>
      <c r="L447">
        <v>9.67</v>
      </c>
      <c r="M447">
        <v>0</v>
      </c>
      <c r="N447">
        <v>103.81</v>
      </c>
      <c r="O447">
        <v>0</v>
      </c>
      <c r="P447">
        <v>0</v>
      </c>
      <c r="Q447">
        <v>16.806000000000001</v>
      </c>
      <c r="R447">
        <v>83.194000000000003</v>
      </c>
      <c r="S447">
        <v>16.806000000000001</v>
      </c>
      <c r="T447">
        <v>653.71</v>
      </c>
      <c r="U447">
        <v>0</v>
      </c>
      <c r="X447">
        <v>5.8</v>
      </c>
    </row>
    <row r="448" spans="1:25" x14ac:dyDescent="0.25">
      <c r="A448" t="s">
        <v>75</v>
      </c>
      <c r="B448" t="s">
        <v>41</v>
      </c>
      <c r="C448" t="s">
        <v>31</v>
      </c>
      <c r="D448">
        <v>2005</v>
      </c>
      <c r="E448">
        <v>230871648</v>
      </c>
      <c r="F448">
        <v>1474875329634</v>
      </c>
      <c r="G448">
        <v>132.88999999999999</v>
      </c>
      <c r="H448">
        <v>132.88999999999999</v>
      </c>
      <c r="I448">
        <v>0</v>
      </c>
      <c r="J448">
        <v>0</v>
      </c>
      <c r="K448">
        <v>22.66</v>
      </c>
      <c r="L448">
        <v>10.73</v>
      </c>
      <c r="M448">
        <v>0</v>
      </c>
      <c r="N448">
        <v>110.23</v>
      </c>
      <c r="O448">
        <v>0</v>
      </c>
      <c r="P448">
        <v>0</v>
      </c>
      <c r="Q448">
        <v>17.052</v>
      </c>
      <c r="R448">
        <v>82.947999999999993</v>
      </c>
      <c r="S448">
        <v>17.052</v>
      </c>
      <c r="T448">
        <v>650.54</v>
      </c>
      <c r="U448">
        <v>0</v>
      </c>
      <c r="X448">
        <v>8.1</v>
      </c>
    </row>
    <row r="449" spans="1:25" x14ac:dyDescent="0.25">
      <c r="A449" t="s">
        <v>75</v>
      </c>
      <c r="B449" t="s">
        <v>41</v>
      </c>
      <c r="C449" t="s">
        <v>31</v>
      </c>
      <c r="D449">
        <v>2006</v>
      </c>
      <c r="E449">
        <v>233951650</v>
      </c>
      <c r="F449">
        <v>1565012923832</v>
      </c>
      <c r="G449">
        <v>138</v>
      </c>
      <c r="H449">
        <v>138</v>
      </c>
      <c r="I449">
        <v>0</v>
      </c>
      <c r="J449">
        <v>0</v>
      </c>
      <c r="K449">
        <v>21.18</v>
      </c>
      <c r="L449">
        <v>9.6199999999999992</v>
      </c>
      <c r="M449">
        <v>0</v>
      </c>
      <c r="N449">
        <v>116.82</v>
      </c>
      <c r="O449">
        <v>0</v>
      </c>
      <c r="P449">
        <v>0</v>
      </c>
      <c r="Q449">
        <v>15.348000000000001</v>
      </c>
      <c r="R449">
        <v>84.652000000000001</v>
      </c>
      <c r="S449">
        <v>15.348000000000001</v>
      </c>
      <c r="T449">
        <v>668.12</v>
      </c>
      <c r="U449">
        <v>0</v>
      </c>
      <c r="X449">
        <v>-6.5</v>
      </c>
    </row>
    <row r="450" spans="1:25" x14ac:dyDescent="0.25">
      <c r="A450" t="s">
        <v>75</v>
      </c>
      <c r="B450" t="s">
        <v>41</v>
      </c>
      <c r="C450" t="s">
        <v>31</v>
      </c>
      <c r="D450">
        <v>2007</v>
      </c>
      <c r="E450">
        <v>237062338</v>
      </c>
      <c r="F450">
        <v>1674227359084</v>
      </c>
      <c r="G450">
        <v>148.4</v>
      </c>
      <c r="H450">
        <v>148.4</v>
      </c>
      <c r="I450">
        <v>0</v>
      </c>
      <c r="J450">
        <v>0</v>
      </c>
      <c r="K450">
        <v>24.29</v>
      </c>
      <c r="L450">
        <v>11.29</v>
      </c>
      <c r="M450">
        <v>0</v>
      </c>
      <c r="N450">
        <v>124.11</v>
      </c>
      <c r="O450">
        <v>0</v>
      </c>
      <c r="P450">
        <v>0</v>
      </c>
      <c r="Q450">
        <v>16.367999999999999</v>
      </c>
      <c r="R450">
        <v>83.632000000000005</v>
      </c>
      <c r="S450">
        <v>16.367999999999999</v>
      </c>
      <c r="T450">
        <v>663.14</v>
      </c>
      <c r="U450">
        <v>0</v>
      </c>
      <c r="X450">
        <v>14.7</v>
      </c>
    </row>
    <row r="451" spans="1:25" x14ac:dyDescent="0.25">
      <c r="A451" t="s">
        <v>75</v>
      </c>
      <c r="B451" t="s">
        <v>41</v>
      </c>
      <c r="C451" t="s">
        <v>31</v>
      </c>
      <c r="D451">
        <v>2008</v>
      </c>
      <c r="E451">
        <v>240157902</v>
      </c>
      <c r="F451">
        <v>1809491142510</v>
      </c>
      <c r="G451">
        <v>155.9</v>
      </c>
      <c r="H451">
        <v>155.9</v>
      </c>
      <c r="I451">
        <v>0</v>
      </c>
      <c r="J451">
        <v>0</v>
      </c>
      <c r="K451">
        <v>26.34</v>
      </c>
      <c r="L451">
        <v>11.53</v>
      </c>
      <c r="M451">
        <v>0</v>
      </c>
      <c r="N451">
        <v>129.56</v>
      </c>
      <c r="O451">
        <v>0</v>
      </c>
      <c r="P451">
        <v>0</v>
      </c>
      <c r="Q451">
        <v>16.895</v>
      </c>
      <c r="R451">
        <v>83.105000000000004</v>
      </c>
      <c r="S451">
        <v>16.895</v>
      </c>
      <c r="T451">
        <v>652.98</v>
      </c>
      <c r="U451">
        <v>0</v>
      </c>
      <c r="X451">
        <v>8.4</v>
      </c>
    </row>
    <row r="452" spans="1:25" x14ac:dyDescent="0.25">
      <c r="A452" t="s">
        <v>75</v>
      </c>
      <c r="B452" t="s">
        <v>41</v>
      </c>
      <c r="C452" t="s">
        <v>31</v>
      </c>
      <c r="D452">
        <v>2009</v>
      </c>
      <c r="E452">
        <v>243220024</v>
      </c>
      <c r="F452">
        <v>1905717479305</v>
      </c>
      <c r="G452">
        <v>162.87</v>
      </c>
      <c r="H452">
        <v>162.87</v>
      </c>
      <c r="I452">
        <v>0</v>
      </c>
      <c r="J452">
        <v>0</v>
      </c>
      <c r="K452">
        <v>26.79</v>
      </c>
      <c r="L452">
        <v>11.38</v>
      </c>
      <c r="M452">
        <v>0</v>
      </c>
      <c r="N452">
        <v>136.08000000000001</v>
      </c>
      <c r="O452">
        <v>0</v>
      </c>
      <c r="P452">
        <v>0</v>
      </c>
      <c r="Q452">
        <v>16.449000000000002</v>
      </c>
      <c r="R452">
        <v>83.551000000000002</v>
      </c>
      <c r="S452">
        <v>16.449000000000002</v>
      </c>
      <c r="T452">
        <v>660.65</v>
      </c>
      <c r="U452">
        <v>0</v>
      </c>
      <c r="X452">
        <v>1.7</v>
      </c>
    </row>
    <row r="453" spans="1:25" x14ac:dyDescent="0.25">
      <c r="A453" t="s">
        <v>75</v>
      </c>
      <c r="B453" t="s">
        <v>41</v>
      </c>
      <c r="C453" t="s">
        <v>31</v>
      </c>
      <c r="D453">
        <v>2010</v>
      </c>
      <c r="E453">
        <v>246305327</v>
      </c>
      <c r="F453">
        <v>2039334560589</v>
      </c>
      <c r="G453">
        <v>177.56</v>
      </c>
      <c r="H453">
        <v>177.56</v>
      </c>
      <c r="I453">
        <v>0</v>
      </c>
      <c r="J453">
        <v>0</v>
      </c>
      <c r="K453">
        <v>34.630000000000003</v>
      </c>
      <c r="L453">
        <v>17.46</v>
      </c>
      <c r="M453">
        <v>0</v>
      </c>
      <c r="N453">
        <v>142.93</v>
      </c>
      <c r="O453">
        <v>0</v>
      </c>
      <c r="P453">
        <v>0</v>
      </c>
      <c r="Q453">
        <v>19.503</v>
      </c>
      <c r="R453">
        <v>80.497</v>
      </c>
      <c r="S453">
        <v>19.503</v>
      </c>
      <c r="T453">
        <v>636.91</v>
      </c>
      <c r="U453">
        <v>0</v>
      </c>
      <c r="X453">
        <v>29.3</v>
      </c>
    </row>
    <row r="454" spans="1:25" x14ac:dyDescent="0.25">
      <c r="A454" t="s">
        <v>75</v>
      </c>
      <c r="B454" t="s">
        <v>41</v>
      </c>
      <c r="C454" t="s">
        <v>31</v>
      </c>
      <c r="D454">
        <v>2011</v>
      </c>
      <c r="E454">
        <v>249470029</v>
      </c>
      <c r="F454">
        <v>2178184530109</v>
      </c>
      <c r="G454">
        <v>191.88</v>
      </c>
      <c r="H454">
        <v>191.88</v>
      </c>
      <c r="I454">
        <v>0</v>
      </c>
      <c r="J454">
        <v>0</v>
      </c>
      <c r="K454">
        <v>30.46</v>
      </c>
      <c r="L454">
        <v>12.42</v>
      </c>
      <c r="M454">
        <v>0</v>
      </c>
      <c r="N454">
        <v>161.41999999999999</v>
      </c>
      <c r="O454">
        <v>0</v>
      </c>
      <c r="P454">
        <v>0</v>
      </c>
      <c r="Q454">
        <v>15.875</v>
      </c>
      <c r="R454">
        <v>84.125</v>
      </c>
      <c r="S454">
        <v>15.875</v>
      </c>
      <c r="T454">
        <v>667.24</v>
      </c>
      <c r="U454">
        <v>0</v>
      </c>
      <c r="X454">
        <v>-12</v>
      </c>
    </row>
    <row r="455" spans="1:25" x14ac:dyDescent="0.25">
      <c r="A455" t="s">
        <v>75</v>
      </c>
      <c r="B455" t="s">
        <v>41</v>
      </c>
      <c r="C455" t="s">
        <v>31</v>
      </c>
      <c r="D455">
        <v>2012</v>
      </c>
      <c r="E455">
        <v>252698525</v>
      </c>
      <c r="F455">
        <v>2309530044109</v>
      </c>
      <c r="G455">
        <v>208.96</v>
      </c>
      <c r="H455">
        <v>208.96</v>
      </c>
      <c r="I455">
        <v>0</v>
      </c>
      <c r="J455">
        <v>0</v>
      </c>
      <c r="K455">
        <v>31.11</v>
      </c>
      <c r="L455">
        <v>12.8</v>
      </c>
      <c r="M455">
        <v>0</v>
      </c>
      <c r="N455">
        <v>177.85</v>
      </c>
      <c r="O455">
        <v>0</v>
      </c>
      <c r="P455">
        <v>0</v>
      </c>
      <c r="Q455">
        <v>14.888</v>
      </c>
      <c r="R455">
        <v>85.111999999999995</v>
      </c>
      <c r="S455">
        <v>14.888</v>
      </c>
      <c r="T455">
        <v>687.12</v>
      </c>
      <c r="U455">
        <v>0</v>
      </c>
      <c r="X455">
        <v>2.1</v>
      </c>
    </row>
    <row r="456" spans="1:25" x14ac:dyDescent="0.25">
      <c r="A456" t="s">
        <v>75</v>
      </c>
      <c r="B456" t="s">
        <v>41</v>
      </c>
      <c r="C456" t="s">
        <v>31</v>
      </c>
      <c r="D456">
        <v>2013</v>
      </c>
      <c r="E456">
        <v>255852464</v>
      </c>
      <c r="F456">
        <v>2437876929100</v>
      </c>
      <c r="G456">
        <v>225.18</v>
      </c>
      <c r="H456">
        <v>225.18</v>
      </c>
      <c r="I456">
        <v>0.01</v>
      </c>
      <c r="J456">
        <v>0</v>
      </c>
      <c r="K456">
        <v>35.5</v>
      </c>
      <c r="L456">
        <v>16.920000000000002</v>
      </c>
      <c r="M456">
        <v>0</v>
      </c>
      <c r="N456">
        <v>189.68</v>
      </c>
      <c r="O456">
        <v>4.0000000000000001E-3</v>
      </c>
      <c r="P456">
        <v>0</v>
      </c>
      <c r="Q456">
        <v>15.765000000000001</v>
      </c>
      <c r="R456">
        <v>84.234999999999999</v>
      </c>
      <c r="S456">
        <v>15.765000000000001</v>
      </c>
      <c r="T456">
        <v>682.17</v>
      </c>
      <c r="U456">
        <v>0</v>
      </c>
      <c r="X456">
        <v>14.1</v>
      </c>
    </row>
    <row r="457" spans="1:25" x14ac:dyDescent="0.25">
      <c r="A457" t="s">
        <v>75</v>
      </c>
      <c r="B457" t="s">
        <v>41</v>
      </c>
      <c r="C457" t="s">
        <v>31</v>
      </c>
      <c r="D457">
        <v>2014</v>
      </c>
      <c r="E457">
        <v>258877395</v>
      </c>
      <c r="F457">
        <v>2559933272409</v>
      </c>
      <c r="G457">
        <v>237.54</v>
      </c>
      <c r="H457">
        <v>237.55</v>
      </c>
      <c r="I457">
        <v>0.01</v>
      </c>
      <c r="J457">
        <v>0</v>
      </c>
      <c r="K457">
        <v>34.409999999999997</v>
      </c>
      <c r="L457">
        <v>15.16</v>
      </c>
      <c r="M457">
        <v>0</v>
      </c>
      <c r="N457">
        <v>203.13</v>
      </c>
      <c r="O457">
        <v>4.0000000000000001E-3</v>
      </c>
      <c r="P457">
        <v>0</v>
      </c>
      <c r="Q457">
        <v>14.486000000000001</v>
      </c>
      <c r="R457">
        <v>85.513999999999996</v>
      </c>
      <c r="S457">
        <v>14.486000000000001</v>
      </c>
      <c r="T457">
        <v>691.59</v>
      </c>
      <c r="U457">
        <v>0</v>
      </c>
      <c r="V457">
        <v>0</v>
      </c>
      <c r="X457">
        <v>-3.1</v>
      </c>
    </row>
    <row r="458" spans="1:25" x14ac:dyDescent="0.25">
      <c r="A458" t="s">
        <v>75</v>
      </c>
      <c r="B458" t="s">
        <v>41</v>
      </c>
      <c r="C458" t="s">
        <v>31</v>
      </c>
      <c r="D458">
        <v>2015</v>
      </c>
      <c r="E458">
        <v>261799249</v>
      </c>
      <c r="F458">
        <v>2684763880628</v>
      </c>
      <c r="G458">
        <v>243.28</v>
      </c>
      <c r="H458">
        <v>243.29</v>
      </c>
      <c r="I458">
        <v>0.01</v>
      </c>
      <c r="J458">
        <v>0</v>
      </c>
      <c r="K458">
        <v>33.56</v>
      </c>
      <c r="L458">
        <v>13.74</v>
      </c>
      <c r="M458">
        <v>0</v>
      </c>
      <c r="N458">
        <v>209.72</v>
      </c>
      <c r="O458">
        <v>4.0000000000000001E-3</v>
      </c>
      <c r="P458">
        <v>0</v>
      </c>
      <c r="Q458">
        <v>13.795</v>
      </c>
      <c r="R458">
        <v>86.204999999999998</v>
      </c>
      <c r="S458">
        <v>13.795</v>
      </c>
      <c r="T458">
        <v>696.32</v>
      </c>
      <c r="U458">
        <v>0</v>
      </c>
      <c r="V458">
        <v>0</v>
      </c>
      <c r="X458">
        <v>-2.5</v>
      </c>
    </row>
    <row r="459" spans="1:25" x14ac:dyDescent="0.25">
      <c r="A459" t="s">
        <v>75</v>
      </c>
      <c r="B459" t="s">
        <v>41</v>
      </c>
      <c r="C459" t="s">
        <v>31</v>
      </c>
      <c r="D459">
        <v>2016</v>
      </c>
      <c r="E459">
        <v>264627429</v>
      </c>
      <c r="F459">
        <v>2819889903036</v>
      </c>
      <c r="G459">
        <v>257.55</v>
      </c>
      <c r="H459">
        <v>258.24</v>
      </c>
      <c r="I459">
        <v>0.02</v>
      </c>
      <c r="J459">
        <v>0.01</v>
      </c>
      <c r="K459">
        <v>39.58</v>
      </c>
      <c r="L459">
        <v>18.68</v>
      </c>
      <c r="M459">
        <v>0</v>
      </c>
      <c r="N459">
        <v>217.97</v>
      </c>
      <c r="O459">
        <v>8.0000000000000002E-3</v>
      </c>
      <c r="P459">
        <v>4.0000000000000001E-3</v>
      </c>
      <c r="Q459">
        <v>15.368</v>
      </c>
      <c r="R459">
        <v>84.632000000000005</v>
      </c>
      <c r="S459">
        <v>15.368</v>
      </c>
      <c r="T459">
        <v>689.03</v>
      </c>
      <c r="U459">
        <v>0.01</v>
      </c>
      <c r="V459">
        <v>100</v>
      </c>
      <c r="X459">
        <v>17.899999999999999</v>
      </c>
    </row>
    <row r="460" spans="1:25" x14ac:dyDescent="0.25">
      <c r="A460" t="s">
        <v>75</v>
      </c>
      <c r="B460" t="s">
        <v>41</v>
      </c>
      <c r="C460" t="s">
        <v>31</v>
      </c>
      <c r="D460">
        <v>2017</v>
      </c>
      <c r="E460">
        <v>267346654</v>
      </c>
      <c r="F460">
        <v>2962852274581</v>
      </c>
      <c r="G460">
        <v>265.83</v>
      </c>
      <c r="H460">
        <v>266.95</v>
      </c>
      <c r="I460">
        <v>0.03</v>
      </c>
      <c r="J460">
        <v>0</v>
      </c>
      <c r="K460">
        <v>43.19</v>
      </c>
      <c r="L460">
        <v>18.63</v>
      </c>
      <c r="M460">
        <v>0</v>
      </c>
      <c r="N460">
        <v>222.64</v>
      </c>
      <c r="O460">
        <v>1.0999999999999999E-2</v>
      </c>
      <c r="P460">
        <v>0</v>
      </c>
      <c r="Q460">
        <v>16.247</v>
      </c>
      <c r="R460">
        <v>83.753</v>
      </c>
      <c r="S460">
        <v>16.247</v>
      </c>
      <c r="T460">
        <v>688.49</v>
      </c>
      <c r="U460">
        <v>0.01</v>
      </c>
      <c r="V460">
        <v>50</v>
      </c>
      <c r="W460">
        <v>-100</v>
      </c>
      <c r="X460">
        <v>9.1</v>
      </c>
    </row>
    <row r="461" spans="1:25" x14ac:dyDescent="0.25">
      <c r="A461" t="s">
        <v>75</v>
      </c>
      <c r="B461" t="s">
        <v>41</v>
      </c>
      <c r="C461" t="s">
        <v>31</v>
      </c>
      <c r="D461">
        <v>2018</v>
      </c>
      <c r="E461">
        <v>269951847</v>
      </c>
      <c r="F461">
        <v>3116158974437</v>
      </c>
      <c r="G461">
        <v>283.79000000000002</v>
      </c>
      <c r="H461">
        <v>285.29000000000002</v>
      </c>
      <c r="I461">
        <v>0.09</v>
      </c>
      <c r="J461">
        <v>0.19</v>
      </c>
      <c r="K461">
        <v>48.38</v>
      </c>
      <c r="L461">
        <v>21.64</v>
      </c>
      <c r="M461">
        <v>0</v>
      </c>
      <c r="N461">
        <v>235.41</v>
      </c>
      <c r="O461">
        <v>3.2000000000000001E-2</v>
      </c>
      <c r="P461">
        <v>6.7000000000000004E-2</v>
      </c>
      <c r="Q461">
        <v>17.047999999999998</v>
      </c>
      <c r="R461">
        <v>82.951999999999998</v>
      </c>
      <c r="S461">
        <v>17.047999999999998</v>
      </c>
      <c r="T461">
        <v>684.06</v>
      </c>
      <c r="U461">
        <v>0.13</v>
      </c>
      <c r="V461">
        <v>200</v>
      </c>
      <c r="X461">
        <v>12</v>
      </c>
    </row>
    <row r="462" spans="1:25" x14ac:dyDescent="0.25">
      <c r="A462" t="s">
        <v>75</v>
      </c>
      <c r="B462" t="s">
        <v>41</v>
      </c>
      <c r="C462" t="s">
        <v>31</v>
      </c>
      <c r="D462">
        <v>2019</v>
      </c>
      <c r="E462">
        <v>272489381</v>
      </c>
      <c r="F462">
        <v>3272568062078</v>
      </c>
      <c r="G462">
        <v>295.44</v>
      </c>
      <c r="H462">
        <v>297.12</v>
      </c>
      <c r="I462">
        <v>0.12</v>
      </c>
      <c r="J462">
        <v>0.48</v>
      </c>
      <c r="K462">
        <v>48.04</v>
      </c>
      <c r="L462">
        <v>21.16</v>
      </c>
      <c r="M462">
        <v>0</v>
      </c>
      <c r="N462">
        <v>247.4</v>
      </c>
      <c r="O462">
        <v>4.1000000000000002E-2</v>
      </c>
      <c r="P462">
        <v>0.16200000000000001</v>
      </c>
      <c r="Q462">
        <v>16.260000000000002</v>
      </c>
      <c r="R462">
        <v>83.74</v>
      </c>
      <c r="S462">
        <v>16.260000000000002</v>
      </c>
      <c r="T462">
        <v>693.81</v>
      </c>
      <c r="U462">
        <v>0.27</v>
      </c>
      <c r="V462">
        <v>33.299999999999997</v>
      </c>
      <c r="W462">
        <v>152.6</v>
      </c>
      <c r="X462">
        <v>-0.7</v>
      </c>
    </row>
    <row r="463" spans="1:25" x14ac:dyDescent="0.25">
      <c r="A463" t="s">
        <v>75</v>
      </c>
      <c r="B463" t="s">
        <v>41</v>
      </c>
      <c r="C463" t="s">
        <v>31</v>
      </c>
      <c r="D463">
        <v>2020</v>
      </c>
      <c r="E463">
        <v>274814861</v>
      </c>
      <c r="F463">
        <v>3204972631957</v>
      </c>
      <c r="G463">
        <v>291.82</v>
      </c>
      <c r="H463">
        <v>293.37</v>
      </c>
      <c r="I463">
        <v>0.17</v>
      </c>
      <c r="J463">
        <v>0.47</v>
      </c>
      <c r="K463">
        <v>52.89</v>
      </c>
      <c r="L463">
        <v>24.33</v>
      </c>
      <c r="M463">
        <v>0</v>
      </c>
      <c r="N463">
        <v>238.93</v>
      </c>
      <c r="O463">
        <v>5.8000000000000003E-2</v>
      </c>
      <c r="P463">
        <v>0.161</v>
      </c>
      <c r="Q463">
        <v>18.123999999999999</v>
      </c>
      <c r="R463">
        <v>81.876000000000005</v>
      </c>
      <c r="S463">
        <v>18.123999999999999</v>
      </c>
      <c r="T463">
        <v>685.15</v>
      </c>
      <c r="U463">
        <v>0.28999999999999998</v>
      </c>
      <c r="V463">
        <v>41.7</v>
      </c>
      <c r="W463">
        <v>-2.1</v>
      </c>
      <c r="X463">
        <v>10.1</v>
      </c>
    </row>
    <row r="464" spans="1:25" x14ac:dyDescent="0.25">
      <c r="A464" t="s">
        <v>75</v>
      </c>
      <c r="B464" t="s">
        <v>41</v>
      </c>
      <c r="C464" t="s">
        <v>31</v>
      </c>
      <c r="D464">
        <v>2021</v>
      </c>
      <c r="E464">
        <v>276758056</v>
      </c>
      <c r="F464">
        <v>3323654666991</v>
      </c>
      <c r="G464">
        <v>309.36</v>
      </c>
      <c r="H464">
        <v>310.33</v>
      </c>
      <c r="I464">
        <v>0.19</v>
      </c>
      <c r="J464">
        <v>0.44</v>
      </c>
      <c r="K464">
        <v>56.2</v>
      </c>
      <c r="L464">
        <v>24.7</v>
      </c>
      <c r="M464">
        <v>0</v>
      </c>
      <c r="N464">
        <v>253.16</v>
      </c>
      <c r="O464">
        <v>6.0999999999999999E-2</v>
      </c>
      <c r="P464">
        <v>0.14199999999999999</v>
      </c>
      <c r="Q464">
        <v>18.167000000000002</v>
      </c>
      <c r="R464">
        <v>81.832999999999998</v>
      </c>
      <c r="S464">
        <v>18.167000000000002</v>
      </c>
      <c r="T464">
        <v>684.41</v>
      </c>
      <c r="U464">
        <v>0.28000000000000003</v>
      </c>
      <c r="V464">
        <v>11.8</v>
      </c>
      <c r="W464">
        <v>-6.4</v>
      </c>
      <c r="X464">
        <v>6.3</v>
      </c>
      <c r="Y464" t="s">
        <v>76</v>
      </c>
    </row>
    <row r="465" spans="1:24" x14ac:dyDescent="0.25">
      <c r="A465" t="s">
        <v>75</v>
      </c>
      <c r="B465" t="s">
        <v>41</v>
      </c>
      <c r="C465" t="s">
        <v>31</v>
      </c>
      <c r="D465">
        <v>2022</v>
      </c>
      <c r="E465">
        <v>278830527</v>
      </c>
      <c r="F465">
        <v>3500093638879</v>
      </c>
      <c r="G465">
        <v>333.54</v>
      </c>
      <c r="H465">
        <v>334.34</v>
      </c>
      <c r="I465">
        <v>0.44</v>
      </c>
      <c r="J465">
        <v>0.36</v>
      </c>
      <c r="K465">
        <v>65.41</v>
      </c>
      <c r="L465">
        <v>27.3</v>
      </c>
      <c r="M465">
        <v>0</v>
      </c>
      <c r="N465">
        <v>268.13</v>
      </c>
      <c r="O465">
        <v>0.13200000000000001</v>
      </c>
      <c r="P465">
        <v>0.108</v>
      </c>
      <c r="Q465">
        <v>19.611000000000001</v>
      </c>
      <c r="R465">
        <v>80.388999999999996</v>
      </c>
      <c r="S465">
        <v>19.611000000000001</v>
      </c>
      <c r="T465">
        <v>675.81</v>
      </c>
      <c r="U465">
        <v>0.36</v>
      </c>
      <c r="V465">
        <v>131.6</v>
      </c>
      <c r="W465">
        <v>-18.2</v>
      </c>
      <c r="X465">
        <v>16.399999999999999</v>
      </c>
    </row>
    <row r="466" spans="1:24" x14ac:dyDescent="0.25">
      <c r="A466" t="s">
        <v>75</v>
      </c>
      <c r="B466" t="s">
        <v>41</v>
      </c>
      <c r="C466" t="s">
        <v>31</v>
      </c>
      <c r="D466">
        <v>2023</v>
      </c>
      <c r="E466">
        <v>281190068</v>
      </c>
      <c r="G466">
        <v>350.6</v>
      </c>
      <c r="H466">
        <v>351.49</v>
      </c>
      <c r="I466">
        <v>0.71</v>
      </c>
      <c r="J466">
        <v>0.48</v>
      </c>
      <c r="K466">
        <v>65.2</v>
      </c>
      <c r="L466">
        <v>24.59</v>
      </c>
      <c r="M466">
        <v>0</v>
      </c>
      <c r="N466">
        <v>285.39999999999998</v>
      </c>
      <c r="O466">
        <v>0.20300000000000001</v>
      </c>
      <c r="P466">
        <v>0.13700000000000001</v>
      </c>
      <c r="Q466">
        <v>18.597000000000001</v>
      </c>
      <c r="R466">
        <v>81.403000000000006</v>
      </c>
      <c r="S466">
        <v>18.597000000000001</v>
      </c>
      <c r="T466">
        <v>680.8</v>
      </c>
      <c r="U466">
        <v>0.54</v>
      </c>
      <c r="V466">
        <v>61.4</v>
      </c>
      <c r="W466">
        <v>33.299999999999997</v>
      </c>
      <c r="X466">
        <v>-0.3</v>
      </c>
    </row>
    <row r="467" spans="1:24" x14ac:dyDescent="0.25">
      <c r="A467" t="s">
        <v>75</v>
      </c>
      <c r="B467" t="s">
        <v>41</v>
      </c>
      <c r="C467" t="s">
        <v>31</v>
      </c>
      <c r="D467">
        <v>2024</v>
      </c>
      <c r="E467">
        <v>283487933</v>
      </c>
      <c r="G467">
        <v>371.54</v>
      </c>
      <c r="H467">
        <v>372.5</v>
      </c>
      <c r="I467">
        <v>1.35</v>
      </c>
      <c r="J467">
        <v>0.47</v>
      </c>
      <c r="K467">
        <v>67.209999999999994</v>
      </c>
      <c r="L467">
        <v>27.29</v>
      </c>
      <c r="M467">
        <v>0</v>
      </c>
      <c r="N467">
        <v>304.33</v>
      </c>
      <c r="O467">
        <v>0.36299999999999999</v>
      </c>
      <c r="P467">
        <v>0.127</v>
      </c>
      <c r="Q467">
        <v>18.09</v>
      </c>
      <c r="R467">
        <v>81.91</v>
      </c>
      <c r="S467">
        <v>18.09</v>
      </c>
      <c r="T467">
        <v>680.25</v>
      </c>
      <c r="U467">
        <v>0.82</v>
      </c>
      <c r="V467">
        <v>90.1</v>
      </c>
      <c r="W467">
        <v>-2.1</v>
      </c>
      <c r="X467">
        <v>3.1</v>
      </c>
    </row>
    <row r="468" spans="1:24" x14ac:dyDescent="0.25">
      <c r="A468" t="s">
        <v>77</v>
      </c>
      <c r="B468" t="s">
        <v>78</v>
      </c>
      <c r="C468" t="s">
        <v>31</v>
      </c>
      <c r="D468">
        <v>2000</v>
      </c>
      <c r="E468">
        <v>66418661</v>
      </c>
      <c r="F468">
        <v>595554549032</v>
      </c>
      <c r="G468">
        <v>119.35</v>
      </c>
      <c r="H468">
        <v>118.67</v>
      </c>
      <c r="I468">
        <v>0</v>
      </c>
      <c r="J468">
        <v>0.04</v>
      </c>
      <c r="K468">
        <v>3.82</v>
      </c>
      <c r="L468">
        <v>3.78</v>
      </c>
      <c r="M468">
        <v>0</v>
      </c>
      <c r="N468">
        <v>115.53</v>
      </c>
      <c r="O468">
        <v>0</v>
      </c>
      <c r="P468">
        <v>3.4000000000000002E-2</v>
      </c>
      <c r="Q468">
        <v>3.2010000000000001</v>
      </c>
      <c r="R468">
        <v>96.799000000000007</v>
      </c>
      <c r="S468">
        <v>3.2010000000000001</v>
      </c>
      <c r="T468">
        <v>667.45</v>
      </c>
      <c r="U468">
        <v>0.02</v>
      </c>
    </row>
    <row r="469" spans="1:24" x14ac:dyDescent="0.25">
      <c r="A469" t="s">
        <v>77</v>
      </c>
      <c r="B469" t="s">
        <v>78</v>
      </c>
      <c r="C469" t="s">
        <v>31</v>
      </c>
      <c r="D469">
        <v>2001</v>
      </c>
      <c r="E469">
        <v>67452005</v>
      </c>
      <c r="F469">
        <v>636570203280</v>
      </c>
      <c r="G469">
        <v>127.59</v>
      </c>
      <c r="H469">
        <v>127.29</v>
      </c>
      <c r="I469">
        <v>0</v>
      </c>
      <c r="J469">
        <v>0.03</v>
      </c>
      <c r="K469">
        <v>4.1500000000000004</v>
      </c>
      <c r="L469">
        <v>4.12</v>
      </c>
      <c r="M469">
        <v>0</v>
      </c>
      <c r="N469">
        <v>123.44</v>
      </c>
      <c r="O469">
        <v>0</v>
      </c>
      <c r="P469">
        <v>2.4E-2</v>
      </c>
      <c r="Q469">
        <v>3.2530000000000001</v>
      </c>
      <c r="R469">
        <v>96.747</v>
      </c>
      <c r="S469">
        <v>3.2530000000000001</v>
      </c>
      <c r="T469">
        <v>667.76</v>
      </c>
      <c r="U469">
        <v>0.01</v>
      </c>
      <c r="W469">
        <v>-25</v>
      </c>
      <c r="X469">
        <v>8.6</v>
      </c>
    </row>
    <row r="470" spans="1:24" x14ac:dyDescent="0.25">
      <c r="A470" t="s">
        <v>77</v>
      </c>
      <c r="B470" t="s">
        <v>78</v>
      </c>
      <c r="C470" t="s">
        <v>31</v>
      </c>
      <c r="D470">
        <v>2002</v>
      </c>
      <c r="E470">
        <v>68011318</v>
      </c>
      <c r="F470">
        <v>698059655739</v>
      </c>
      <c r="G470">
        <v>138.22999999999999</v>
      </c>
      <c r="H470">
        <v>138.41</v>
      </c>
      <c r="I470">
        <v>0</v>
      </c>
      <c r="J470">
        <v>0.03</v>
      </c>
      <c r="K470">
        <v>8.0399999999999991</v>
      </c>
      <c r="L470">
        <v>8.01</v>
      </c>
      <c r="M470">
        <v>0</v>
      </c>
      <c r="N470">
        <v>130.19</v>
      </c>
      <c r="O470">
        <v>0</v>
      </c>
      <c r="P470">
        <v>2.1999999999999999E-2</v>
      </c>
      <c r="Q470">
        <v>5.8159999999999998</v>
      </c>
      <c r="R470">
        <v>94.183999999999997</v>
      </c>
      <c r="S470">
        <v>5.8159999999999998</v>
      </c>
      <c r="T470">
        <v>651.80999999999995</v>
      </c>
      <c r="U470">
        <v>0.01</v>
      </c>
      <c r="W470">
        <v>0</v>
      </c>
      <c r="X470">
        <v>93.7</v>
      </c>
    </row>
    <row r="471" spans="1:24" x14ac:dyDescent="0.25">
      <c r="A471" t="s">
        <v>77</v>
      </c>
      <c r="B471" t="s">
        <v>78</v>
      </c>
      <c r="C471" t="s">
        <v>31</v>
      </c>
      <c r="D471">
        <v>2003</v>
      </c>
      <c r="E471">
        <v>68769343</v>
      </c>
      <c r="F471">
        <v>779969698412</v>
      </c>
      <c r="G471">
        <v>151.65</v>
      </c>
      <c r="H471">
        <v>152.22</v>
      </c>
      <c r="I471">
        <v>0</v>
      </c>
      <c r="J471">
        <v>0.03</v>
      </c>
      <c r="K471">
        <v>9.6199999999999992</v>
      </c>
      <c r="L471">
        <v>9.59</v>
      </c>
      <c r="M471">
        <v>0</v>
      </c>
      <c r="N471">
        <v>142.03</v>
      </c>
      <c r="O471">
        <v>0</v>
      </c>
      <c r="P471">
        <v>0.02</v>
      </c>
      <c r="Q471">
        <v>6.3440000000000003</v>
      </c>
      <c r="R471">
        <v>93.656000000000006</v>
      </c>
      <c r="S471">
        <v>6.3440000000000003</v>
      </c>
      <c r="T471">
        <v>648.99</v>
      </c>
      <c r="U471">
        <v>0.01</v>
      </c>
      <c r="W471">
        <v>0</v>
      </c>
      <c r="X471">
        <v>19.7</v>
      </c>
    </row>
    <row r="472" spans="1:24" x14ac:dyDescent="0.25">
      <c r="A472" t="s">
        <v>77</v>
      </c>
      <c r="B472" t="s">
        <v>78</v>
      </c>
      <c r="C472" t="s">
        <v>31</v>
      </c>
      <c r="D472">
        <v>2004</v>
      </c>
      <c r="E472">
        <v>70256316</v>
      </c>
      <c r="F472">
        <v>849441950372</v>
      </c>
      <c r="G472">
        <v>162.76</v>
      </c>
      <c r="H472">
        <v>163.09</v>
      </c>
      <c r="I472">
        <v>0</v>
      </c>
      <c r="J472">
        <v>0.05</v>
      </c>
      <c r="K472">
        <v>11.98</v>
      </c>
      <c r="L472">
        <v>11.93</v>
      </c>
      <c r="M472">
        <v>0</v>
      </c>
      <c r="N472">
        <v>150.78</v>
      </c>
      <c r="O472">
        <v>0</v>
      </c>
      <c r="P472">
        <v>3.1E-2</v>
      </c>
      <c r="Q472">
        <v>7.3609999999999998</v>
      </c>
      <c r="R472">
        <v>92.638999999999996</v>
      </c>
      <c r="S472">
        <v>7.3609999999999998</v>
      </c>
      <c r="T472">
        <v>641.55999999999995</v>
      </c>
      <c r="U472">
        <v>0.02</v>
      </c>
      <c r="W472">
        <v>66.7</v>
      </c>
      <c r="X472">
        <v>24.5</v>
      </c>
    </row>
    <row r="473" spans="1:24" x14ac:dyDescent="0.25">
      <c r="A473" t="s">
        <v>77</v>
      </c>
      <c r="B473" t="s">
        <v>78</v>
      </c>
      <c r="C473" t="s">
        <v>31</v>
      </c>
      <c r="D473">
        <v>2005</v>
      </c>
      <c r="E473">
        <v>71828455</v>
      </c>
      <c r="F473">
        <v>908856025194</v>
      </c>
      <c r="G473">
        <v>177.07</v>
      </c>
      <c r="H473">
        <v>176.39</v>
      </c>
      <c r="I473">
        <v>0</v>
      </c>
      <c r="J473">
        <v>7.0000000000000007E-2</v>
      </c>
      <c r="K473">
        <v>14.52</v>
      </c>
      <c r="L473">
        <v>14.45</v>
      </c>
      <c r="M473">
        <v>0</v>
      </c>
      <c r="N473">
        <v>162.55000000000001</v>
      </c>
      <c r="O473">
        <v>0</v>
      </c>
      <c r="P473">
        <v>0.04</v>
      </c>
      <c r="Q473">
        <v>8.1999999999999993</v>
      </c>
      <c r="R473">
        <v>91.8</v>
      </c>
      <c r="S473">
        <v>8.1999999999999993</v>
      </c>
      <c r="T473">
        <v>636.29999999999995</v>
      </c>
      <c r="U473">
        <v>0.03</v>
      </c>
      <c r="W473">
        <v>40</v>
      </c>
      <c r="X473">
        <v>21.2</v>
      </c>
    </row>
    <row r="474" spans="1:24" x14ac:dyDescent="0.25">
      <c r="A474" t="s">
        <v>77</v>
      </c>
      <c r="B474" t="s">
        <v>78</v>
      </c>
      <c r="C474" t="s">
        <v>31</v>
      </c>
      <c r="D474">
        <v>2006</v>
      </c>
      <c r="E474">
        <v>73392747</v>
      </c>
      <c r="F474">
        <v>995245162302</v>
      </c>
      <c r="G474">
        <v>193.43</v>
      </c>
      <c r="H474">
        <v>193.2</v>
      </c>
      <c r="I474">
        <v>0</v>
      </c>
      <c r="J474">
        <v>0.13</v>
      </c>
      <c r="K474">
        <v>18.64</v>
      </c>
      <c r="L474">
        <v>18.510000000000002</v>
      </c>
      <c r="M474">
        <v>0</v>
      </c>
      <c r="N474">
        <v>174.79</v>
      </c>
      <c r="O474">
        <v>0</v>
      </c>
      <c r="P474">
        <v>6.7000000000000004E-2</v>
      </c>
      <c r="Q474">
        <v>9.6370000000000005</v>
      </c>
      <c r="R474">
        <v>90.363</v>
      </c>
      <c r="S474">
        <v>9.6370000000000005</v>
      </c>
      <c r="T474">
        <v>624.72</v>
      </c>
      <c r="U474">
        <v>0.06</v>
      </c>
      <c r="W474">
        <v>85.7</v>
      </c>
      <c r="X474">
        <v>28.4</v>
      </c>
    </row>
    <row r="475" spans="1:24" x14ac:dyDescent="0.25">
      <c r="A475" t="s">
        <v>77</v>
      </c>
      <c r="B475" t="s">
        <v>78</v>
      </c>
      <c r="C475" t="s">
        <v>31</v>
      </c>
      <c r="D475">
        <v>2007</v>
      </c>
      <c r="E475">
        <v>74602648</v>
      </c>
      <c r="F475">
        <v>1098784519617</v>
      </c>
      <c r="G475">
        <v>203.12</v>
      </c>
      <c r="H475">
        <v>202.44</v>
      </c>
      <c r="I475">
        <v>0</v>
      </c>
      <c r="J475">
        <v>0.14000000000000001</v>
      </c>
      <c r="K475">
        <v>18.100000000000001</v>
      </c>
      <c r="L475">
        <v>17.96</v>
      </c>
      <c r="M475">
        <v>0</v>
      </c>
      <c r="N475">
        <v>185.02</v>
      </c>
      <c r="O475">
        <v>0</v>
      </c>
      <c r="P475">
        <v>6.9000000000000006E-2</v>
      </c>
      <c r="Q475">
        <v>8.9109999999999996</v>
      </c>
      <c r="R475">
        <v>91.088999999999999</v>
      </c>
      <c r="S475">
        <v>8.9109999999999996</v>
      </c>
      <c r="T475">
        <v>630.86</v>
      </c>
      <c r="U475">
        <v>0.06</v>
      </c>
      <c r="W475">
        <v>7.7</v>
      </c>
      <c r="X475">
        <v>-2.9</v>
      </c>
    </row>
    <row r="476" spans="1:24" x14ac:dyDescent="0.25">
      <c r="A476" t="s">
        <v>77</v>
      </c>
      <c r="B476" t="s">
        <v>78</v>
      </c>
      <c r="C476" t="s">
        <v>31</v>
      </c>
      <c r="D476">
        <v>2008</v>
      </c>
      <c r="E476">
        <v>75514201</v>
      </c>
      <c r="F476">
        <v>1132365762681</v>
      </c>
      <c r="G476">
        <v>210.49</v>
      </c>
      <c r="H476">
        <v>208.3</v>
      </c>
      <c r="I476">
        <v>0</v>
      </c>
      <c r="J476">
        <v>0.2</v>
      </c>
      <c r="K476">
        <v>7.64</v>
      </c>
      <c r="L476">
        <v>7.44</v>
      </c>
      <c r="M476">
        <v>0</v>
      </c>
      <c r="N476">
        <v>202.85</v>
      </c>
      <c r="O476">
        <v>0</v>
      </c>
      <c r="P476">
        <v>9.5000000000000001E-2</v>
      </c>
      <c r="Q476">
        <v>3.63</v>
      </c>
      <c r="R476">
        <v>96.37</v>
      </c>
      <c r="S476">
        <v>3.63</v>
      </c>
      <c r="T476">
        <v>662.36</v>
      </c>
      <c r="U476">
        <v>0.09</v>
      </c>
      <c r="W476">
        <v>42.9</v>
      </c>
      <c r="X476">
        <v>-57.8</v>
      </c>
    </row>
    <row r="477" spans="1:24" x14ac:dyDescent="0.25">
      <c r="A477" t="s">
        <v>77</v>
      </c>
      <c r="B477" t="s">
        <v>78</v>
      </c>
      <c r="C477" t="s">
        <v>31</v>
      </c>
      <c r="D477">
        <v>2009</v>
      </c>
      <c r="E477">
        <v>76457831</v>
      </c>
      <c r="F477">
        <v>1208128386676</v>
      </c>
      <c r="G477">
        <v>221.81</v>
      </c>
      <c r="H477">
        <v>217.73</v>
      </c>
      <c r="I477">
        <v>0</v>
      </c>
      <c r="J477">
        <v>0.23</v>
      </c>
      <c r="K477">
        <v>6.95</v>
      </c>
      <c r="L477">
        <v>6.72</v>
      </c>
      <c r="M477">
        <v>0</v>
      </c>
      <c r="N477">
        <v>214.86</v>
      </c>
      <c r="O477">
        <v>0</v>
      </c>
      <c r="P477">
        <v>0.104</v>
      </c>
      <c r="Q477">
        <v>3.133</v>
      </c>
      <c r="R477">
        <v>96.867000000000004</v>
      </c>
      <c r="S477">
        <v>3.133</v>
      </c>
      <c r="T477">
        <v>666.83</v>
      </c>
      <c r="U477">
        <v>0.1</v>
      </c>
      <c r="W477">
        <v>15</v>
      </c>
      <c r="X477">
        <v>-9</v>
      </c>
    </row>
    <row r="478" spans="1:24" x14ac:dyDescent="0.25">
      <c r="A478" t="s">
        <v>77</v>
      </c>
      <c r="B478" t="s">
        <v>78</v>
      </c>
      <c r="C478" t="s">
        <v>31</v>
      </c>
      <c r="D478">
        <v>2010</v>
      </c>
      <c r="E478">
        <v>77420851</v>
      </c>
      <c r="F478">
        <v>1310507059384</v>
      </c>
      <c r="G478">
        <v>235.68</v>
      </c>
      <c r="H478">
        <v>231.99</v>
      </c>
      <c r="I478">
        <v>0</v>
      </c>
      <c r="J478">
        <v>0.17</v>
      </c>
      <c r="K478">
        <v>10.43</v>
      </c>
      <c r="L478">
        <v>10.25</v>
      </c>
      <c r="M478">
        <v>0</v>
      </c>
      <c r="N478">
        <v>225.25</v>
      </c>
      <c r="O478">
        <v>0</v>
      </c>
      <c r="P478">
        <v>7.1999999999999995E-2</v>
      </c>
      <c r="Q478">
        <v>4.4249999999999998</v>
      </c>
      <c r="R478">
        <v>95.575000000000003</v>
      </c>
      <c r="S478">
        <v>4.4249999999999998</v>
      </c>
      <c r="T478">
        <v>661.24</v>
      </c>
      <c r="U478">
        <v>0.08</v>
      </c>
      <c r="W478">
        <v>-26.1</v>
      </c>
      <c r="X478">
        <v>50.1</v>
      </c>
    </row>
    <row r="479" spans="1:24" x14ac:dyDescent="0.25">
      <c r="A479" t="s">
        <v>77</v>
      </c>
      <c r="B479" t="s">
        <v>78</v>
      </c>
      <c r="C479" t="s">
        <v>31</v>
      </c>
      <c r="D479">
        <v>2011</v>
      </c>
      <c r="E479">
        <v>78383602</v>
      </c>
      <c r="F479">
        <v>1345049307937</v>
      </c>
      <c r="G479">
        <v>235.59</v>
      </c>
      <c r="H479">
        <v>230.58</v>
      </c>
      <c r="I479">
        <v>0</v>
      </c>
      <c r="J479">
        <v>0.21</v>
      </c>
      <c r="K479">
        <v>10.91</v>
      </c>
      <c r="L479">
        <v>10.68</v>
      </c>
      <c r="M479">
        <v>0.11</v>
      </c>
      <c r="N479">
        <v>224.57</v>
      </c>
      <c r="O479">
        <v>0</v>
      </c>
      <c r="P479">
        <v>8.8999999999999996E-2</v>
      </c>
      <c r="Q479">
        <v>4.6310000000000002</v>
      </c>
      <c r="R479">
        <v>95.322000000000003</v>
      </c>
      <c r="S479">
        <v>4.6779999999999999</v>
      </c>
      <c r="T479">
        <v>654.05999999999995</v>
      </c>
      <c r="U479">
        <v>0.09</v>
      </c>
      <c r="W479">
        <v>23.5</v>
      </c>
      <c r="X479">
        <v>4.5999999999999996</v>
      </c>
    </row>
    <row r="480" spans="1:24" x14ac:dyDescent="0.25">
      <c r="A480" t="s">
        <v>77</v>
      </c>
      <c r="B480" t="s">
        <v>78</v>
      </c>
      <c r="C480" t="s">
        <v>31</v>
      </c>
      <c r="D480">
        <v>2012</v>
      </c>
      <c r="E480">
        <v>79370583</v>
      </c>
      <c r="F480">
        <v>1324570752684</v>
      </c>
      <c r="G480">
        <v>248.74</v>
      </c>
      <c r="H480">
        <v>241.61</v>
      </c>
      <c r="I480">
        <v>0</v>
      </c>
      <c r="J480">
        <v>0.28000000000000003</v>
      </c>
      <c r="K480">
        <v>12.8</v>
      </c>
      <c r="L480">
        <v>12.5</v>
      </c>
      <c r="M480">
        <v>1.45</v>
      </c>
      <c r="N480">
        <v>234.49</v>
      </c>
      <c r="O480">
        <v>0</v>
      </c>
      <c r="P480">
        <v>0.113</v>
      </c>
      <c r="Q480">
        <v>5.1459999999999999</v>
      </c>
      <c r="R480">
        <v>94.271000000000001</v>
      </c>
      <c r="S480">
        <v>5.7290000000000001</v>
      </c>
      <c r="T480">
        <v>648.35</v>
      </c>
      <c r="U480">
        <v>0.13</v>
      </c>
      <c r="W480">
        <v>33.299999999999997</v>
      </c>
      <c r="X480">
        <v>17.3</v>
      </c>
    </row>
    <row r="481" spans="1:25" x14ac:dyDescent="0.25">
      <c r="A481" t="s">
        <v>77</v>
      </c>
      <c r="B481" t="s">
        <v>78</v>
      </c>
      <c r="C481" t="s">
        <v>31</v>
      </c>
      <c r="D481">
        <v>2013</v>
      </c>
      <c r="E481">
        <v>80414689</v>
      </c>
      <c r="F481">
        <v>1287095594893</v>
      </c>
      <c r="G481">
        <v>258.86</v>
      </c>
      <c r="H481">
        <v>250.98</v>
      </c>
      <c r="I481">
        <v>0</v>
      </c>
      <c r="J481">
        <v>0.22</v>
      </c>
      <c r="K481">
        <v>14.86</v>
      </c>
      <c r="L481">
        <v>14.62</v>
      </c>
      <c r="M481">
        <v>4.26</v>
      </c>
      <c r="N481">
        <v>239.74</v>
      </c>
      <c r="O481">
        <v>0</v>
      </c>
      <c r="P481">
        <v>8.5000000000000006E-2</v>
      </c>
      <c r="Q481">
        <v>5.7409999999999997</v>
      </c>
      <c r="R481">
        <v>92.614000000000004</v>
      </c>
      <c r="S481">
        <v>7.3860000000000001</v>
      </c>
      <c r="T481">
        <v>633.62</v>
      </c>
      <c r="U481">
        <v>0.1</v>
      </c>
      <c r="W481">
        <v>-21.4</v>
      </c>
      <c r="X481">
        <v>16.100000000000001</v>
      </c>
    </row>
    <row r="482" spans="1:25" x14ac:dyDescent="0.25">
      <c r="A482" t="s">
        <v>77</v>
      </c>
      <c r="B482" t="s">
        <v>78</v>
      </c>
      <c r="C482" t="s">
        <v>31</v>
      </c>
      <c r="D482">
        <v>2014</v>
      </c>
      <c r="E482">
        <v>81502045</v>
      </c>
      <c r="F482">
        <v>1352737013920</v>
      </c>
      <c r="G482">
        <v>275.63</v>
      </c>
      <c r="H482">
        <v>269.74</v>
      </c>
      <c r="I482">
        <v>0</v>
      </c>
      <c r="J482">
        <v>0.2</v>
      </c>
      <c r="K482">
        <v>14.75</v>
      </c>
      <c r="L482">
        <v>14.5</v>
      </c>
      <c r="M482">
        <v>4.07</v>
      </c>
      <c r="N482">
        <v>256.81</v>
      </c>
      <c r="O482">
        <v>0</v>
      </c>
      <c r="P482">
        <v>7.2999999999999995E-2</v>
      </c>
      <c r="Q482">
        <v>5.351</v>
      </c>
      <c r="R482">
        <v>93.171999999999997</v>
      </c>
      <c r="S482">
        <v>6.8280000000000003</v>
      </c>
      <c r="T482">
        <v>644.12</v>
      </c>
      <c r="U482">
        <v>0.09</v>
      </c>
      <c r="W482">
        <v>-9.1</v>
      </c>
      <c r="X482">
        <v>-0.7</v>
      </c>
    </row>
    <row r="483" spans="1:25" x14ac:dyDescent="0.25">
      <c r="A483" t="s">
        <v>77</v>
      </c>
      <c r="B483" t="s">
        <v>78</v>
      </c>
      <c r="C483" t="s">
        <v>31</v>
      </c>
      <c r="D483">
        <v>2015</v>
      </c>
      <c r="E483">
        <v>82619365</v>
      </c>
      <c r="F483">
        <v>1331012211481</v>
      </c>
      <c r="G483">
        <v>280.24</v>
      </c>
      <c r="H483">
        <v>277.57</v>
      </c>
      <c r="I483">
        <v>0</v>
      </c>
      <c r="J483">
        <v>0.14000000000000001</v>
      </c>
      <c r="K483">
        <v>13.41</v>
      </c>
      <c r="L483">
        <v>13.25</v>
      </c>
      <c r="M483">
        <v>3.5</v>
      </c>
      <c r="N483">
        <v>263.33</v>
      </c>
      <c r="O483">
        <v>0</v>
      </c>
      <c r="P483">
        <v>0.05</v>
      </c>
      <c r="Q483">
        <v>4.7850000000000001</v>
      </c>
      <c r="R483">
        <v>93.965999999999994</v>
      </c>
      <c r="S483">
        <v>6.0339999999999998</v>
      </c>
      <c r="T483">
        <v>650.84</v>
      </c>
      <c r="U483">
        <v>0.06</v>
      </c>
      <c r="W483">
        <v>-30</v>
      </c>
      <c r="X483">
        <v>-9.1</v>
      </c>
      <c r="Y483" t="s">
        <v>79</v>
      </c>
    </row>
    <row r="484" spans="1:25" x14ac:dyDescent="0.25">
      <c r="A484" t="s">
        <v>77</v>
      </c>
      <c r="B484" t="s">
        <v>78</v>
      </c>
      <c r="C484" t="s">
        <v>31</v>
      </c>
      <c r="D484">
        <v>2016</v>
      </c>
      <c r="E484">
        <v>83812230</v>
      </c>
      <c r="F484">
        <v>1413723685657</v>
      </c>
      <c r="G484">
        <v>286.14</v>
      </c>
      <c r="H484">
        <v>283.67</v>
      </c>
      <c r="I484">
        <v>0</v>
      </c>
      <c r="J484">
        <v>0.16</v>
      </c>
      <c r="K484">
        <v>15.6</v>
      </c>
      <c r="L484">
        <v>15.42</v>
      </c>
      <c r="M484">
        <v>6.47</v>
      </c>
      <c r="N484">
        <v>264.07</v>
      </c>
      <c r="O484">
        <v>0</v>
      </c>
      <c r="P484">
        <v>5.6000000000000001E-2</v>
      </c>
      <c r="Q484">
        <v>5.452</v>
      </c>
      <c r="R484">
        <v>92.287000000000006</v>
      </c>
      <c r="S484">
        <v>7.7130000000000001</v>
      </c>
      <c r="T484">
        <v>642.13</v>
      </c>
      <c r="U484">
        <v>7.0000000000000007E-2</v>
      </c>
      <c r="W484">
        <v>14.3</v>
      </c>
      <c r="X484">
        <v>16.3</v>
      </c>
    </row>
    <row r="485" spans="1:25" x14ac:dyDescent="0.25">
      <c r="A485" t="s">
        <v>77</v>
      </c>
      <c r="B485" t="s">
        <v>78</v>
      </c>
      <c r="C485" t="s">
        <v>31</v>
      </c>
      <c r="D485">
        <v>2017</v>
      </c>
      <c r="E485">
        <v>85026761</v>
      </c>
      <c r="F485">
        <v>1486668357750</v>
      </c>
      <c r="G485">
        <v>305.17</v>
      </c>
      <c r="H485">
        <v>300.85000000000002</v>
      </c>
      <c r="I485">
        <v>0.09</v>
      </c>
      <c r="J485">
        <v>0.32</v>
      </c>
      <c r="K485">
        <v>17.66</v>
      </c>
      <c r="L485">
        <v>17.23</v>
      </c>
      <c r="M485">
        <v>6.96</v>
      </c>
      <c r="N485">
        <v>280.55</v>
      </c>
      <c r="O485">
        <v>2.9000000000000001E-2</v>
      </c>
      <c r="P485">
        <v>0.105</v>
      </c>
      <c r="Q485">
        <v>5.7869999999999999</v>
      </c>
      <c r="R485">
        <v>91.932000000000002</v>
      </c>
      <c r="S485">
        <v>8.0679999999999996</v>
      </c>
      <c r="T485">
        <v>641.67999999999995</v>
      </c>
      <c r="U485">
        <v>0.18</v>
      </c>
      <c r="W485">
        <v>100</v>
      </c>
      <c r="X485">
        <v>13.2</v>
      </c>
    </row>
    <row r="486" spans="1:25" x14ac:dyDescent="0.25">
      <c r="A486" t="s">
        <v>77</v>
      </c>
      <c r="B486" t="s">
        <v>78</v>
      </c>
      <c r="C486" t="s">
        <v>31</v>
      </c>
      <c r="D486">
        <v>2018</v>
      </c>
      <c r="E486">
        <v>86117999</v>
      </c>
      <c r="F486">
        <v>1483607175221</v>
      </c>
      <c r="G486">
        <v>312.35000000000002</v>
      </c>
      <c r="H486">
        <v>308.64</v>
      </c>
      <c r="I486">
        <v>0.22</v>
      </c>
      <c r="J486">
        <v>0.75</v>
      </c>
      <c r="K486">
        <v>10.83</v>
      </c>
      <c r="L486">
        <v>9.84</v>
      </c>
      <c r="M486">
        <v>6.89</v>
      </c>
      <c r="N486">
        <v>294.63</v>
      </c>
      <c r="O486">
        <v>7.0000000000000007E-2</v>
      </c>
      <c r="P486">
        <v>0.24</v>
      </c>
      <c r="Q486">
        <v>3.4670000000000001</v>
      </c>
      <c r="R486">
        <v>94.326999999999998</v>
      </c>
      <c r="S486">
        <v>5.673</v>
      </c>
      <c r="T486">
        <v>657.88</v>
      </c>
      <c r="U486">
        <v>0.44</v>
      </c>
      <c r="V486">
        <v>144.4</v>
      </c>
      <c r="W486">
        <v>134.4</v>
      </c>
      <c r="X486">
        <v>-38.700000000000003</v>
      </c>
    </row>
    <row r="487" spans="1:25" x14ac:dyDescent="0.25">
      <c r="A487" t="s">
        <v>77</v>
      </c>
      <c r="B487" t="s">
        <v>78</v>
      </c>
      <c r="C487" t="s">
        <v>31</v>
      </c>
      <c r="D487">
        <v>2019</v>
      </c>
      <c r="E487">
        <v>87051649</v>
      </c>
      <c r="F487">
        <v>1438754460224</v>
      </c>
      <c r="G487">
        <v>318.88</v>
      </c>
      <c r="H487">
        <v>312.02</v>
      </c>
      <c r="I487">
        <v>0.51</v>
      </c>
      <c r="J487">
        <v>0.72</v>
      </c>
      <c r="K487">
        <v>35.11</v>
      </c>
      <c r="L487">
        <v>33.869999999999997</v>
      </c>
      <c r="M487">
        <v>6.41</v>
      </c>
      <c r="N487">
        <v>277.36</v>
      </c>
      <c r="O487">
        <v>0.16</v>
      </c>
      <c r="P487">
        <v>0.22600000000000001</v>
      </c>
      <c r="Q487">
        <v>11.01</v>
      </c>
      <c r="R487">
        <v>86.978999999999999</v>
      </c>
      <c r="S487">
        <v>13.021000000000001</v>
      </c>
      <c r="T487">
        <v>607.82000000000005</v>
      </c>
      <c r="U487">
        <v>0.55000000000000004</v>
      </c>
      <c r="V487">
        <v>131.80000000000001</v>
      </c>
      <c r="W487">
        <v>-4</v>
      </c>
      <c r="X487">
        <v>224.2</v>
      </c>
    </row>
    <row r="488" spans="1:25" x14ac:dyDescent="0.25">
      <c r="A488" t="s">
        <v>77</v>
      </c>
      <c r="B488" t="s">
        <v>78</v>
      </c>
      <c r="C488" t="s">
        <v>31</v>
      </c>
      <c r="D488">
        <v>2020</v>
      </c>
      <c r="E488">
        <v>87723448</v>
      </c>
      <c r="F488">
        <v>1446203709942</v>
      </c>
      <c r="G488">
        <v>337.21</v>
      </c>
      <c r="H488">
        <v>330.41</v>
      </c>
      <c r="I488">
        <v>0.57999999999999996</v>
      </c>
      <c r="J488">
        <v>1.1299999999999999</v>
      </c>
      <c r="K488">
        <v>24.93</v>
      </c>
      <c r="L488">
        <v>23.2</v>
      </c>
      <c r="M488">
        <v>6.33</v>
      </c>
      <c r="N488">
        <v>305.95</v>
      </c>
      <c r="O488">
        <v>0.17199999999999999</v>
      </c>
      <c r="P488">
        <v>0.33500000000000002</v>
      </c>
      <c r="Q488">
        <v>7.3929999999999998</v>
      </c>
      <c r="R488">
        <v>90.73</v>
      </c>
      <c r="S488">
        <v>9.27</v>
      </c>
      <c r="T488">
        <v>632.80999999999995</v>
      </c>
      <c r="U488">
        <v>0.77</v>
      </c>
      <c r="V488">
        <v>13.7</v>
      </c>
      <c r="W488">
        <v>56.9</v>
      </c>
      <c r="X488">
        <v>-29</v>
      </c>
    </row>
    <row r="489" spans="1:25" x14ac:dyDescent="0.25">
      <c r="A489" t="s">
        <v>77</v>
      </c>
      <c r="B489" t="s">
        <v>78</v>
      </c>
      <c r="C489" t="s">
        <v>31</v>
      </c>
      <c r="D489">
        <v>2021</v>
      </c>
      <c r="E489">
        <v>88455490</v>
      </c>
      <c r="F489">
        <v>1525523070071</v>
      </c>
      <c r="G489">
        <v>356.41</v>
      </c>
      <c r="H489">
        <v>349.61</v>
      </c>
      <c r="I489">
        <v>0.62</v>
      </c>
      <c r="J489">
        <v>1.1299999999999999</v>
      </c>
      <c r="K489">
        <v>15.6</v>
      </c>
      <c r="L489">
        <v>13.83</v>
      </c>
      <c r="M489">
        <v>3.54</v>
      </c>
      <c r="N489">
        <v>337.27</v>
      </c>
      <c r="O489">
        <v>0.17399999999999999</v>
      </c>
      <c r="P489">
        <v>0.317</v>
      </c>
      <c r="Q489">
        <v>4.3769999999999998</v>
      </c>
      <c r="R489">
        <v>94.63</v>
      </c>
      <c r="S489">
        <v>5.37</v>
      </c>
      <c r="T489">
        <v>659.83</v>
      </c>
      <c r="U489">
        <v>0.79</v>
      </c>
      <c r="V489">
        <v>6.9</v>
      </c>
      <c r="W489">
        <v>0</v>
      </c>
      <c r="X489">
        <v>-37.4</v>
      </c>
    </row>
    <row r="490" spans="1:25" x14ac:dyDescent="0.25">
      <c r="A490" t="s">
        <v>77</v>
      </c>
      <c r="B490" t="s">
        <v>78</v>
      </c>
      <c r="C490" t="s">
        <v>31</v>
      </c>
      <c r="D490">
        <v>2022</v>
      </c>
      <c r="E490">
        <v>89524247</v>
      </c>
      <c r="F490">
        <v>1572209055082</v>
      </c>
      <c r="G490">
        <v>367.06</v>
      </c>
      <c r="H490">
        <v>360.61</v>
      </c>
      <c r="I490">
        <v>0.62</v>
      </c>
      <c r="J490">
        <v>1.1299999999999999</v>
      </c>
      <c r="K490">
        <v>15.77</v>
      </c>
      <c r="L490">
        <v>14</v>
      </c>
      <c r="M490">
        <v>6.57</v>
      </c>
      <c r="N490">
        <v>344.72</v>
      </c>
      <c r="O490">
        <v>0.16900000000000001</v>
      </c>
      <c r="P490">
        <v>0.308</v>
      </c>
      <c r="Q490">
        <v>4.2960000000000003</v>
      </c>
      <c r="R490">
        <v>93.914000000000001</v>
      </c>
      <c r="S490">
        <v>6.0860000000000003</v>
      </c>
      <c r="T490">
        <v>655.37</v>
      </c>
      <c r="U490">
        <v>0.79</v>
      </c>
      <c r="V490">
        <v>0</v>
      </c>
      <c r="W490">
        <v>0</v>
      </c>
      <c r="X490">
        <v>1.1000000000000001</v>
      </c>
    </row>
    <row r="491" spans="1:25" x14ac:dyDescent="0.25">
      <c r="A491" t="s">
        <v>77</v>
      </c>
      <c r="B491" t="s">
        <v>78</v>
      </c>
      <c r="C491" t="s">
        <v>31</v>
      </c>
      <c r="D491">
        <v>2023</v>
      </c>
      <c r="E491">
        <v>90608708</v>
      </c>
      <c r="G491">
        <v>382.02</v>
      </c>
      <c r="H491">
        <v>375.29</v>
      </c>
      <c r="I491">
        <v>0.68</v>
      </c>
      <c r="J491">
        <v>1.21</v>
      </c>
      <c r="K491">
        <v>24.73</v>
      </c>
      <c r="L491">
        <v>22.82</v>
      </c>
      <c r="M491">
        <v>6.64</v>
      </c>
      <c r="N491">
        <v>350.65</v>
      </c>
      <c r="O491">
        <v>0.17799999999999999</v>
      </c>
      <c r="P491">
        <v>0.317</v>
      </c>
      <c r="Q491">
        <v>6.4729999999999999</v>
      </c>
      <c r="R491">
        <v>91.787999999999997</v>
      </c>
      <c r="S491">
        <v>8.2119999999999997</v>
      </c>
      <c r="T491">
        <v>641.38</v>
      </c>
      <c r="U491">
        <v>0.85</v>
      </c>
      <c r="V491">
        <v>9.6999999999999993</v>
      </c>
      <c r="W491">
        <v>7.1</v>
      </c>
      <c r="X491">
        <v>56.8</v>
      </c>
    </row>
    <row r="492" spans="1:25" x14ac:dyDescent="0.25">
      <c r="A492" t="s">
        <v>77</v>
      </c>
      <c r="B492" t="s">
        <v>78</v>
      </c>
      <c r="C492" t="s">
        <v>31</v>
      </c>
      <c r="D492">
        <v>2024</v>
      </c>
      <c r="E492">
        <v>91567737</v>
      </c>
      <c r="G492">
        <v>395.79</v>
      </c>
      <c r="H492">
        <v>393.39</v>
      </c>
      <c r="I492">
        <v>0.9</v>
      </c>
      <c r="J492">
        <v>1.25</v>
      </c>
      <c r="K492">
        <v>21.05</v>
      </c>
      <c r="L492">
        <v>18.87</v>
      </c>
      <c r="M492">
        <v>7.35</v>
      </c>
      <c r="N492">
        <v>367.39</v>
      </c>
      <c r="O492">
        <v>0.22700000000000001</v>
      </c>
      <c r="P492">
        <v>0.316</v>
      </c>
      <c r="Q492">
        <v>5.3179999999999996</v>
      </c>
      <c r="R492">
        <v>92.823999999999998</v>
      </c>
      <c r="S492">
        <v>7.1760000000000002</v>
      </c>
      <c r="T492">
        <v>648.67999999999995</v>
      </c>
      <c r="U492">
        <v>0.97</v>
      </c>
      <c r="V492">
        <v>32.4</v>
      </c>
      <c r="W492">
        <v>3.3</v>
      </c>
      <c r="X492">
        <v>-14.9</v>
      </c>
    </row>
    <row r="493" spans="1:25" x14ac:dyDescent="0.25">
      <c r="A493" t="s">
        <v>77</v>
      </c>
      <c r="B493" t="s">
        <v>78</v>
      </c>
      <c r="C493" t="s">
        <v>31</v>
      </c>
      <c r="D493">
        <v>2025</v>
      </c>
      <c r="E493">
        <v>92417684</v>
      </c>
      <c r="G493">
        <v>395.78</v>
      </c>
      <c r="H493">
        <v>395.6</v>
      </c>
      <c r="I493">
        <v>0.9</v>
      </c>
      <c r="J493">
        <v>1.25</v>
      </c>
      <c r="K493">
        <v>15.21</v>
      </c>
      <c r="L493">
        <v>13.03</v>
      </c>
      <c r="M493">
        <v>7.35</v>
      </c>
      <c r="N493">
        <v>373.22</v>
      </c>
      <c r="O493">
        <v>0.22700000000000001</v>
      </c>
      <c r="P493">
        <v>0.316</v>
      </c>
      <c r="Q493">
        <v>3.843</v>
      </c>
      <c r="R493">
        <v>94.3</v>
      </c>
      <c r="S493">
        <v>5.7</v>
      </c>
      <c r="T493">
        <v>659.53</v>
      </c>
      <c r="U493">
        <v>0.97</v>
      </c>
      <c r="V493">
        <v>0</v>
      </c>
      <c r="W493">
        <v>0</v>
      </c>
      <c r="X493">
        <v>-27.7</v>
      </c>
    </row>
    <row r="494" spans="1:25" x14ac:dyDescent="0.25">
      <c r="A494" t="s">
        <v>80</v>
      </c>
      <c r="B494" t="s">
        <v>78</v>
      </c>
      <c r="C494" t="s">
        <v>31</v>
      </c>
      <c r="D494">
        <v>2000</v>
      </c>
      <c r="E494">
        <v>24424060</v>
      </c>
      <c r="F494">
        <v>83019213791</v>
      </c>
      <c r="G494">
        <v>31.9</v>
      </c>
      <c r="H494">
        <v>31.9</v>
      </c>
      <c r="I494">
        <v>0</v>
      </c>
      <c r="J494">
        <v>0</v>
      </c>
      <c r="K494">
        <v>0.61</v>
      </c>
      <c r="L494">
        <v>0.61</v>
      </c>
      <c r="M494">
        <v>0</v>
      </c>
      <c r="N494">
        <v>31.29</v>
      </c>
      <c r="O494">
        <v>0</v>
      </c>
      <c r="P494">
        <v>0</v>
      </c>
      <c r="Q494">
        <v>1.9119999999999999</v>
      </c>
      <c r="R494">
        <v>98.087999999999994</v>
      </c>
      <c r="S494">
        <v>1.9119999999999999</v>
      </c>
      <c r="T494">
        <v>658.31</v>
      </c>
      <c r="U494">
        <v>0</v>
      </c>
    </row>
    <row r="495" spans="1:25" x14ac:dyDescent="0.25">
      <c r="A495" t="s">
        <v>80</v>
      </c>
      <c r="B495" t="s">
        <v>78</v>
      </c>
      <c r="C495" t="s">
        <v>31</v>
      </c>
      <c r="D495">
        <v>2001</v>
      </c>
      <c r="E495">
        <v>25197842</v>
      </c>
      <c r="F495">
        <v>97219510326</v>
      </c>
      <c r="G495">
        <v>32.25</v>
      </c>
      <c r="H495">
        <v>32.25</v>
      </c>
      <c r="I495">
        <v>0</v>
      </c>
      <c r="J495">
        <v>0</v>
      </c>
      <c r="K495">
        <v>0.62</v>
      </c>
      <c r="L495">
        <v>0.62</v>
      </c>
      <c r="M495">
        <v>0</v>
      </c>
      <c r="N495">
        <v>31.63</v>
      </c>
      <c r="O495">
        <v>0</v>
      </c>
      <c r="P495">
        <v>0</v>
      </c>
      <c r="Q495">
        <v>1.9219999999999999</v>
      </c>
      <c r="R495">
        <v>98.078000000000003</v>
      </c>
      <c r="S495">
        <v>1.9219999999999999</v>
      </c>
      <c r="T495">
        <v>656.43</v>
      </c>
      <c r="U495">
        <v>0</v>
      </c>
      <c r="X495">
        <v>1.6</v>
      </c>
    </row>
    <row r="496" spans="1:25" x14ac:dyDescent="0.25">
      <c r="A496" t="s">
        <v>80</v>
      </c>
      <c r="B496" t="s">
        <v>78</v>
      </c>
      <c r="C496" t="s">
        <v>31</v>
      </c>
      <c r="D496">
        <v>2002</v>
      </c>
      <c r="E496">
        <v>26006558</v>
      </c>
      <c r="F496">
        <v>112141846978</v>
      </c>
      <c r="G496">
        <v>33.86</v>
      </c>
      <c r="H496">
        <v>33.86</v>
      </c>
      <c r="I496">
        <v>0</v>
      </c>
      <c r="J496">
        <v>0</v>
      </c>
      <c r="K496">
        <v>0.52</v>
      </c>
      <c r="L496">
        <v>0.52</v>
      </c>
      <c r="M496">
        <v>0</v>
      </c>
      <c r="N496">
        <v>33.340000000000003</v>
      </c>
      <c r="O496">
        <v>0</v>
      </c>
      <c r="P496">
        <v>0</v>
      </c>
      <c r="Q496">
        <v>1.536</v>
      </c>
      <c r="R496">
        <v>98.463999999999999</v>
      </c>
      <c r="S496">
        <v>1.536</v>
      </c>
      <c r="T496">
        <v>657.12</v>
      </c>
      <c r="U496">
        <v>0</v>
      </c>
      <c r="X496">
        <v>-16.100000000000001</v>
      </c>
    </row>
    <row r="497" spans="1:24" x14ac:dyDescent="0.25">
      <c r="A497" t="s">
        <v>80</v>
      </c>
      <c r="B497" t="s">
        <v>78</v>
      </c>
      <c r="C497" t="s">
        <v>31</v>
      </c>
      <c r="D497">
        <v>2003</v>
      </c>
      <c r="E497">
        <v>26802660</v>
      </c>
      <c r="F497">
        <v>94480598969</v>
      </c>
      <c r="G497">
        <v>28.33</v>
      </c>
      <c r="H497">
        <v>28.33</v>
      </c>
      <c r="I497">
        <v>0</v>
      </c>
      <c r="J497">
        <v>0</v>
      </c>
      <c r="K497">
        <v>0.43</v>
      </c>
      <c r="L497">
        <v>0.43</v>
      </c>
      <c r="M497">
        <v>0</v>
      </c>
      <c r="N497">
        <v>27.9</v>
      </c>
      <c r="O497">
        <v>0</v>
      </c>
      <c r="P497">
        <v>0</v>
      </c>
      <c r="Q497">
        <v>1.518</v>
      </c>
      <c r="R497">
        <v>98.481999999999999</v>
      </c>
      <c r="S497">
        <v>1.518</v>
      </c>
      <c r="T497">
        <v>655.49</v>
      </c>
      <c r="U497">
        <v>0</v>
      </c>
      <c r="X497">
        <v>-17.3</v>
      </c>
    </row>
    <row r="498" spans="1:24" x14ac:dyDescent="0.25">
      <c r="A498" t="s">
        <v>80</v>
      </c>
      <c r="B498" t="s">
        <v>78</v>
      </c>
      <c r="C498" t="s">
        <v>31</v>
      </c>
      <c r="D498">
        <v>2004</v>
      </c>
      <c r="E498">
        <v>27577876</v>
      </c>
      <c r="F498">
        <v>155937247290</v>
      </c>
      <c r="G498">
        <v>32.29</v>
      </c>
      <c r="H498">
        <v>33.61</v>
      </c>
      <c r="I498">
        <v>0</v>
      </c>
      <c r="J498">
        <v>0</v>
      </c>
      <c r="K498">
        <v>0.49</v>
      </c>
      <c r="L498">
        <v>0.49</v>
      </c>
      <c r="M498">
        <v>0</v>
      </c>
      <c r="N498">
        <v>31.8</v>
      </c>
      <c r="O498">
        <v>0</v>
      </c>
      <c r="P498">
        <v>0</v>
      </c>
      <c r="Q498">
        <v>1.5169999999999999</v>
      </c>
      <c r="R498">
        <v>98.481999999999999</v>
      </c>
      <c r="S498">
        <v>1.5169999999999999</v>
      </c>
      <c r="T498">
        <v>652.21</v>
      </c>
      <c r="U498">
        <v>0</v>
      </c>
      <c r="X498">
        <v>14</v>
      </c>
    </row>
    <row r="499" spans="1:24" x14ac:dyDescent="0.25">
      <c r="A499" t="s">
        <v>80</v>
      </c>
      <c r="B499" t="s">
        <v>78</v>
      </c>
      <c r="C499" t="s">
        <v>31</v>
      </c>
      <c r="D499">
        <v>2005</v>
      </c>
      <c r="E499">
        <v>28407450</v>
      </c>
      <c r="F499">
        <v>170895694120</v>
      </c>
      <c r="G499">
        <v>30.4</v>
      </c>
      <c r="H499">
        <v>31.64</v>
      </c>
      <c r="I499">
        <v>0</v>
      </c>
      <c r="J499">
        <v>0</v>
      </c>
      <c r="K499">
        <v>6</v>
      </c>
      <c r="L499">
        <v>6</v>
      </c>
      <c r="M499">
        <v>0</v>
      </c>
      <c r="N499">
        <v>24.4</v>
      </c>
      <c r="O499">
        <v>0</v>
      </c>
      <c r="P499">
        <v>0</v>
      </c>
      <c r="Q499">
        <v>19.736999999999998</v>
      </c>
      <c r="R499">
        <v>80.263000000000005</v>
      </c>
      <c r="S499">
        <v>19.736999999999998</v>
      </c>
      <c r="T499">
        <v>554.92999999999995</v>
      </c>
      <c r="U499">
        <v>0</v>
      </c>
      <c r="X499">
        <v>1124.5</v>
      </c>
    </row>
    <row r="500" spans="1:24" x14ac:dyDescent="0.25">
      <c r="A500" t="s">
        <v>80</v>
      </c>
      <c r="B500" t="s">
        <v>78</v>
      </c>
      <c r="C500" t="s">
        <v>31</v>
      </c>
      <c r="D500">
        <v>2006</v>
      </c>
      <c r="E500">
        <v>28616518</v>
      </c>
      <c r="F500">
        <v>190082841273</v>
      </c>
      <c r="G500">
        <v>33.83</v>
      </c>
      <c r="H500">
        <v>36.520000000000003</v>
      </c>
      <c r="I500">
        <v>0</v>
      </c>
      <c r="J500">
        <v>0</v>
      </c>
      <c r="K500">
        <v>6.1</v>
      </c>
      <c r="L500">
        <v>6.1</v>
      </c>
      <c r="M500">
        <v>0</v>
      </c>
      <c r="N500">
        <v>27.73</v>
      </c>
      <c r="O500">
        <v>0</v>
      </c>
      <c r="P500">
        <v>0</v>
      </c>
      <c r="Q500">
        <v>18.030999999999999</v>
      </c>
      <c r="R500">
        <v>81.968999999999994</v>
      </c>
      <c r="S500">
        <v>18.030999999999999</v>
      </c>
      <c r="T500">
        <v>571.67999999999995</v>
      </c>
      <c r="U500">
        <v>0</v>
      </c>
      <c r="X500">
        <v>1.7</v>
      </c>
    </row>
    <row r="501" spans="1:24" x14ac:dyDescent="0.25">
      <c r="A501" t="s">
        <v>80</v>
      </c>
      <c r="B501" t="s">
        <v>78</v>
      </c>
      <c r="C501" t="s">
        <v>31</v>
      </c>
      <c r="D501">
        <v>2007</v>
      </c>
      <c r="E501">
        <v>28391606</v>
      </c>
      <c r="F501">
        <v>200529416438</v>
      </c>
      <c r="G501">
        <v>33.24</v>
      </c>
      <c r="H501">
        <v>35.44</v>
      </c>
      <c r="I501">
        <v>0</v>
      </c>
      <c r="J501">
        <v>0</v>
      </c>
      <c r="K501">
        <v>5.74</v>
      </c>
      <c r="L501">
        <v>5.74</v>
      </c>
      <c r="M501">
        <v>0</v>
      </c>
      <c r="N501">
        <v>27.5</v>
      </c>
      <c r="O501">
        <v>0</v>
      </c>
      <c r="P501">
        <v>0</v>
      </c>
      <c r="Q501">
        <v>17.268000000000001</v>
      </c>
      <c r="R501">
        <v>82.731999999999999</v>
      </c>
      <c r="S501">
        <v>17.268000000000001</v>
      </c>
      <c r="T501">
        <v>574.61</v>
      </c>
      <c r="U501">
        <v>0</v>
      </c>
      <c r="X501">
        <v>-5.9</v>
      </c>
    </row>
    <row r="502" spans="1:24" x14ac:dyDescent="0.25">
      <c r="A502" t="s">
        <v>80</v>
      </c>
      <c r="B502" t="s">
        <v>78</v>
      </c>
      <c r="C502" t="s">
        <v>31</v>
      </c>
      <c r="D502">
        <v>2008</v>
      </c>
      <c r="E502">
        <v>28971042</v>
      </c>
      <c r="F502">
        <v>231588128927</v>
      </c>
      <c r="G502">
        <v>36.880000000000003</v>
      </c>
      <c r="H502">
        <v>39.85</v>
      </c>
      <c r="I502">
        <v>0</v>
      </c>
      <c r="J502">
        <v>0</v>
      </c>
      <c r="K502">
        <v>3.48</v>
      </c>
      <c r="L502">
        <v>3.48</v>
      </c>
      <c r="M502">
        <v>0</v>
      </c>
      <c r="N502">
        <v>33.4</v>
      </c>
      <c r="O502">
        <v>0</v>
      </c>
      <c r="P502">
        <v>0</v>
      </c>
      <c r="Q502">
        <v>9.4359999999999999</v>
      </c>
      <c r="R502">
        <v>90.563999999999993</v>
      </c>
      <c r="S502">
        <v>9.4359999999999999</v>
      </c>
      <c r="T502">
        <v>631.24</v>
      </c>
      <c r="U502">
        <v>0</v>
      </c>
      <c r="X502">
        <v>-39.4</v>
      </c>
    </row>
    <row r="503" spans="1:24" x14ac:dyDescent="0.25">
      <c r="A503" t="s">
        <v>80</v>
      </c>
      <c r="B503" t="s">
        <v>78</v>
      </c>
      <c r="C503" t="s">
        <v>31</v>
      </c>
      <c r="D503">
        <v>2009</v>
      </c>
      <c r="E503">
        <v>30058207</v>
      </c>
      <c r="F503">
        <v>259745648872</v>
      </c>
      <c r="G503">
        <v>37.85</v>
      </c>
      <c r="H503">
        <v>43.44</v>
      </c>
      <c r="I503">
        <v>0</v>
      </c>
      <c r="J503">
        <v>0</v>
      </c>
      <c r="K503">
        <v>3.23</v>
      </c>
      <c r="L503">
        <v>3.23</v>
      </c>
      <c r="M503">
        <v>0</v>
      </c>
      <c r="N503">
        <v>34.619999999999997</v>
      </c>
      <c r="O503">
        <v>0</v>
      </c>
      <c r="P503">
        <v>0</v>
      </c>
      <c r="Q503">
        <v>8.5340000000000007</v>
      </c>
      <c r="R503">
        <v>91.465999999999994</v>
      </c>
      <c r="S503">
        <v>8.5340000000000007</v>
      </c>
      <c r="T503">
        <v>635.92999999999995</v>
      </c>
      <c r="U503">
        <v>0</v>
      </c>
      <c r="X503">
        <v>-7.2</v>
      </c>
    </row>
    <row r="504" spans="1:24" x14ac:dyDescent="0.25">
      <c r="A504" t="s">
        <v>80</v>
      </c>
      <c r="B504" t="s">
        <v>78</v>
      </c>
      <c r="C504" t="s">
        <v>31</v>
      </c>
      <c r="D504">
        <v>2010</v>
      </c>
      <c r="E504">
        <v>31045367</v>
      </c>
      <c r="F504">
        <v>297507194079</v>
      </c>
      <c r="G504">
        <v>48.91</v>
      </c>
      <c r="H504">
        <v>55.63</v>
      </c>
      <c r="I504">
        <v>0</v>
      </c>
      <c r="J504">
        <v>0</v>
      </c>
      <c r="K504">
        <v>4.7699999999999996</v>
      </c>
      <c r="L504">
        <v>4.7699999999999996</v>
      </c>
      <c r="M504">
        <v>0</v>
      </c>
      <c r="N504">
        <v>44.14</v>
      </c>
      <c r="O504">
        <v>0</v>
      </c>
      <c r="P504">
        <v>0</v>
      </c>
      <c r="Q504">
        <v>9.7530000000000001</v>
      </c>
      <c r="R504">
        <v>90.247</v>
      </c>
      <c r="S504">
        <v>9.7530000000000001</v>
      </c>
      <c r="T504">
        <v>616.64</v>
      </c>
      <c r="U504">
        <v>0</v>
      </c>
      <c r="X504">
        <v>47.7</v>
      </c>
    </row>
    <row r="505" spans="1:24" x14ac:dyDescent="0.25">
      <c r="A505" t="s">
        <v>80</v>
      </c>
      <c r="B505" t="s">
        <v>78</v>
      </c>
      <c r="C505" t="s">
        <v>31</v>
      </c>
      <c r="D505">
        <v>2011</v>
      </c>
      <c r="E505">
        <v>32161425</v>
      </c>
      <c r="F505">
        <v>344220720679</v>
      </c>
      <c r="G505">
        <v>53.9</v>
      </c>
      <c r="H505">
        <v>61.13</v>
      </c>
      <c r="I505">
        <v>0</v>
      </c>
      <c r="J505">
        <v>0</v>
      </c>
      <c r="K505">
        <v>3.4</v>
      </c>
      <c r="L505">
        <v>3.4</v>
      </c>
      <c r="M505">
        <v>0</v>
      </c>
      <c r="N505">
        <v>50.5</v>
      </c>
      <c r="O505">
        <v>0</v>
      </c>
      <c r="P505">
        <v>0</v>
      </c>
      <c r="Q505">
        <v>6.3079999999999998</v>
      </c>
      <c r="R505">
        <v>93.691999999999993</v>
      </c>
      <c r="S505">
        <v>6.3079999999999998</v>
      </c>
      <c r="T505">
        <v>640.26</v>
      </c>
      <c r="U505">
        <v>0</v>
      </c>
      <c r="X505">
        <v>-28.7</v>
      </c>
    </row>
    <row r="506" spans="1:24" x14ac:dyDescent="0.25">
      <c r="A506" t="s">
        <v>80</v>
      </c>
      <c r="B506" t="s">
        <v>78</v>
      </c>
      <c r="C506" t="s">
        <v>31</v>
      </c>
      <c r="D506">
        <v>2012</v>
      </c>
      <c r="E506">
        <v>33654843</v>
      </c>
      <c r="F506">
        <v>392191319237</v>
      </c>
      <c r="G506">
        <v>46.02</v>
      </c>
      <c r="H506">
        <v>56.19</v>
      </c>
      <c r="I506">
        <v>0</v>
      </c>
      <c r="J506">
        <v>0</v>
      </c>
      <c r="K506">
        <v>4.3899999999999997</v>
      </c>
      <c r="L506">
        <v>4.3899999999999997</v>
      </c>
      <c r="M506">
        <v>0</v>
      </c>
      <c r="N506">
        <v>41.63</v>
      </c>
      <c r="O506">
        <v>0</v>
      </c>
      <c r="P506">
        <v>0</v>
      </c>
      <c r="Q506">
        <v>9.5389999999999997</v>
      </c>
      <c r="R506">
        <v>90.460999999999999</v>
      </c>
      <c r="S506">
        <v>9.5389999999999997</v>
      </c>
      <c r="T506">
        <v>612.34</v>
      </c>
      <c r="U506">
        <v>0</v>
      </c>
      <c r="X506">
        <v>29.1</v>
      </c>
    </row>
    <row r="507" spans="1:24" x14ac:dyDescent="0.25">
      <c r="A507" t="s">
        <v>80</v>
      </c>
      <c r="B507" t="s">
        <v>78</v>
      </c>
      <c r="C507" t="s">
        <v>31</v>
      </c>
      <c r="D507">
        <v>2013</v>
      </c>
      <c r="E507">
        <v>35281987</v>
      </c>
      <c r="F507">
        <v>422107689937</v>
      </c>
      <c r="G507">
        <v>58.9</v>
      </c>
      <c r="H507">
        <v>68.14</v>
      </c>
      <c r="I507">
        <v>0.05</v>
      </c>
      <c r="J507">
        <v>0</v>
      </c>
      <c r="K507">
        <v>4.8099999999999996</v>
      </c>
      <c r="L507">
        <v>4.76</v>
      </c>
      <c r="M507">
        <v>0</v>
      </c>
      <c r="N507">
        <v>54.09</v>
      </c>
      <c r="O507">
        <v>8.5000000000000006E-2</v>
      </c>
      <c r="P507">
        <v>0</v>
      </c>
      <c r="Q507">
        <v>8.1660000000000004</v>
      </c>
      <c r="R507">
        <v>91.834000000000003</v>
      </c>
      <c r="S507">
        <v>8.1660000000000004</v>
      </c>
      <c r="T507">
        <v>620.20000000000005</v>
      </c>
      <c r="U507">
        <v>0.02</v>
      </c>
      <c r="X507">
        <v>9.6</v>
      </c>
    </row>
    <row r="508" spans="1:24" x14ac:dyDescent="0.25">
      <c r="A508" t="s">
        <v>80</v>
      </c>
      <c r="B508" t="s">
        <v>78</v>
      </c>
      <c r="C508" t="s">
        <v>31</v>
      </c>
      <c r="D508">
        <v>2014</v>
      </c>
      <c r="E508">
        <v>36550058</v>
      </c>
      <c r="F508">
        <v>425222855485</v>
      </c>
      <c r="G508">
        <v>69.03</v>
      </c>
      <c r="H508">
        <v>77.89</v>
      </c>
      <c r="I508">
        <v>0.06</v>
      </c>
      <c r="J508">
        <v>0</v>
      </c>
      <c r="K508">
        <v>2.99</v>
      </c>
      <c r="L508">
        <v>2.93</v>
      </c>
      <c r="M508">
        <v>0</v>
      </c>
      <c r="N508">
        <v>66.040000000000006</v>
      </c>
      <c r="O508">
        <v>8.6999999999999994E-2</v>
      </c>
      <c r="P508">
        <v>0</v>
      </c>
      <c r="Q508">
        <v>4.3310000000000004</v>
      </c>
      <c r="R508">
        <v>95.668999999999997</v>
      </c>
      <c r="S508">
        <v>4.3310000000000004</v>
      </c>
      <c r="T508">
        <v>645.23</v>
      </c>
      <c r="U508">
        <v>0.03</v>
      </c>
      <c r="V508">
        <v>20</v>
      </c>
      <c r="X508">
        <v>-37.799999999999997</v>
      </c>
    </row>
    <row r="509" spans="1:24" x14ac:dyDescent="0.25">
      <c r="A509" t="s">
        <v>80</v>
      </c>
      <c r="B509" t="s">
        <v>78</v>
      </c>
      <c r="C509" t="s">
        <v>31</v>
      </c>
      <c r="D509">
        <v>2015</v>
      </c>
      <c r="E509">
        <v>37560535</v>
      </c>
      <c r="F509">
        <v>436010743372</v>
      </c>
      <c r="G509">
        <v>70.64</v>
      </c>
      <c r="H509">
        <v>79.81</v>
      </c>
      <c r="I509">
        <v>0.06</v>
      </c>
      <c r="J509">
        <v>0</v>
      </c>
      <c r="K509">
        <v>2.61</v>
      </c>
      <c r="L509">
        <v>2.5499999999999998</v>
      </c>
      <c r="M509">
        <v>0</v>
      </c>
      <c r="N509">
        <v>68.03</v>
      </c>
      <c r="O509">
        <v>8.5000000000000006E-2</v>
      </c>
      <c r="P509">
        <v>0</v>
      </c>
      <c r="Q509">
        <v>3.6949999999999998</v>
      </c>
      <c r="R509">
        <v>96.305000000000007</v>
      </c>
      <c r="S509">
        <v>3.6949999999999998</v>
      </c>
      <c r="T509">
        <v>654.45000000000005</v>
      </c>
      <c r="U509">
        <v>0.03</v>
      </c>
      <c r="V509">
        <v>0</v>
      </c>
      <c r="X509">
        <v>-12.7</v>
      </c>
    </row>
    <row r="510" spans="1:24" x14ac:dyDescent="0.25">
      <c r="A510" t="s">
        <v>80</v>
      </c>
      <c r="B510" t="s">
        <v>78</v>
      </c>
      <c r="C510" t="s">
        <v>31</v>
      </c>
      <c r="D510">
        <v>2016</v>
      </c>
      <c r="E510">
        <v>38469628</v>
      </c>
      <c r="F510">
        <v>502280002568</v>
      </c>
      <c r="G510">
        <v>81.93</v>
      </c>
      <c r="H510">
        <v>90.07</v>
      </c>
      <c r="I510">
        <v>0.06</v>
      </c>
      <c r="J510">
        <v>0</v>
      </c>
      <c r="K510">
        <v>3.43</v>
      </c>
      <c r="L510">
        <v>3.37</v>
      </c>
      <c r="M510">
        <v>0</v>
      </c>
      <c r="N510">
        <v>78.5</v>
      </c>
      <c r="O510">
        <v>7.2999999999999995E-2</v>
      </c>
      <c r="P510">
        <v>0</v>
      </c>
      <c r="Q510">
        <v>4.1870000000000003</v>
      </c>
      <c r="R510">
        <v>95.813000000000002</v>
      </c>
      <c r="S510">
        <v>4.1870000000000003</v>
      </c>
      <c r="T510">
        <v>648.48</v>
      </c>
      <c r="U510">
        <v>0.03</v>
      </c>
      <c r="V510">
        <v>0</v>
      </c>
      <c r="X510">
        <v>31.4</v>
      </c>
    </row>
    <row r="511" spans="1:24" x14ac:dyDescent="0.25">
      <c r="A511" t="s">
        <v>80</v>
      </c>
      <c r="B511" t="s">
        <v>78</v>
      </c>
      <c r="C511" t="s">
        <v>31</v>
      </c>
      <c r="D511">
        <v>2017</v>
      </c>
      <c r="E511">
        <v>39337358</v>
      </c>
      <c r="F511">
        <v>485207548291</v>
      </c>
      <c r="G511">
        <v>93.58</v>
      </c>
      <c r="H511">
        <v>99.22</v>
      </c>
      <c r="I511">
        <v>0.06</v>
      </c>
      <c r="J511">
        <v>0</v>
      </c>
      <c r="K511">
        <v>2.2400000000000002</v>
      </c>
      <c r="L511">
        <v>2.1800000000000002</v>
      </c>
      <c r="M511">
        <v>0</v>
      </c>
      <c r="N511">
        <v>91.34</v>
      </c>
      <c r="O511">
        <v>6.4000000000000001E-2</v>
      </c>
      <c r="P511">
        <v>0</v>
      </c>
      <c r="Q511">
        <v>2.3940000000000001</v>
      </c>
      <c r="R511">
        <v>97.605999999999995</v>
      </c>
      <c r="S511">
        <v>2.3940000000000001</v>
      </c>
      <c r="T511">
        <v>666.81</v>
      </c>
      <c r="U511">
        <v>0.03</v>
      </c>
      <c r="V511">
        <v>0</v>
      </c>
      <c r="X511">
        <v>-34.700000000000003</v>
      </c>
    </row>
    <row r="512" spans="1:24" x14ac:dyDescent="0.25">
      <c r="A512" t="s">
        <v>80</v>
      </c>
      <c r="B512" t="s">
        <v>78</v>
      </c>
      <c r="C512" t="s">
        <v>31</v>
      </c>
      <c r="D512">
        <v>2018</v>
      </c>
      <c r="E512">
        <v>40265629</v>
      </c>
      <c r="F512">
        <v>508026800522</v>
      </c>
      <c r="G512">
        <v>98.41</v>
      </c>
      <c r="H512">
        <v>103.09</v>
      </c>
      <c r="I512">
        <v>0.06</v>
      </c>
      <c r="J512">
        <v>0</v>
      </c>
      <c r="K512">
        <v>1.88</v>
      </c>
      <c r="L512">
        <v>1.82</v>
      </c>
      <c r="M512">
        <v>0</v>
      </c>
      <c r="N512">
        <v>96.53</v>
      </c>
      <c r="O512">
        <v>6.0999999999999999E-2</v>
      </c>
      <c r="P512">
        <v>0</v>
      </c>
      <c r="Q512">
        <v>1.91</v>
      </c>
      <c r="R512">
        <v>98.09</v>
      </c>
      <c r="S512">
        <v>1.91</v>
      </c>
      <c r="T512">
        <v>682.05</v>
      </c>
      <c r="U512">
        <v>0.03</v>
      </c>
      <c r="V512">
        <v>0</v>
      </c>
      <c r="X512">
        <v>-16.100000000000001</v>
      </c>
    </row>
    <row r="513" spans="1:25" x14ac:dyDescent="0.25">
      <c r="A513" t="s">
        <v>80</v>
      </c>
      <c r="B513" t="s">
        <v>78</v>
      </c>
      <c r="C513" t="s">
        <v>31</v>
      </c>
      <c r="D513">
        <v>2019</v>
      </c>
      <c r="E513">
        <v>41192172</v>
      </c>
      <c r="F513">
        <v>537548265143</v>
      </c>
      <c r="G513">
        <v>115.21</v>
      </c>
      <c r="H513">
        <v>121.76</v>
      </c>
      <c r="I513">
        <v>0.06</v>
      </c>
      <c r="J513">
        <v>0</v>
      </c>
      <c r="K513">
        <v>5.0199999999999996</v>
      </c>
      <c r="L513">
        <v>4.96</v>
      </c>
      <c r="M513">
        <v>0</v>
      </c>
      <c r="N513">
        <v>110.19</v>
      </c>
      <c r="O513">
        <v>5.1999999999999998E-2</v>
      </c>
      <c r="P513">
        <v>0</v>
      </c>
      <c r="Q513">
        <v>4.3570000000000002</v>
      </c>
      <c r="R513">
        <v>95.643000000000001</v>
      </c>
      <c r="S513">
        <v>4.3570000000000002</v>
      </c>
      <c r="T513">
        <v>668.87</v>
      </c>
      <c r="U513">
        <v>0.03</v>
      </c>
      <c r="V513">
        <v>0</v>
      </c>
      <c r="X513">
        <v>167</v>
      </c>
    </row>
    <row r="514" spans="1:25" x14ac:dyDescent="0.25">
      <c r="A514" t="s">
        <v>80</v>
      </c>
      <c r="B514" t="s">
        <v>78</v>
      </c>
      <c r="C514" t="s">
        <v>31</v>
      </c>
      <c r="D514">
        <v>2020</v>
      </c>
      <c r="E514">
        <v>42116602</v>
      </c>
      <c r="F514">
        <v>453147782672</v>
      </c>
      <c r="G514">
        <v>117.12</v>
      </c>
      <c r="H514">
        <v>124.57</v>
      </c>
      <c r="I514">
        <v>0.38</v>
      </c>
      <c r="J514">
        <v>0</v>
      </c>
      <c r="K514">
        <v>4.54</v>
      </c>
      <c r="L514">
        <v>4.16</v>
      </c>
      <c r="M514">
        <v>0</v>
      </c>
      <c r="N514">
        <v>112.58</v>
      </c>
      <c r="O514">
        <v>0.32400000000000001</v>
      </c>
      <c r="P514">
        <v>0</v>
      </c>
      <c r="Q514">
        <v>3.8759999999999999</v>
      </c>
      <c r="R514">
        <v>96.123999999999995</v>
      </c>
      <c r="S514">
        <v>3.8759999999999999</v>
      </c>
      <c r="T514">
        <v>674.18</v>
      </c>
      <c r="U514">
        <v>0.17</v>
      </c>
      <c r="V514">
        <v>533.29999999999995</v>
      </c>
      <c r="X514">
        <v>-9.6</v>
      </c>
    </row>
    <row r="515" spans="1:25" x14ac:dyDescent="0.25">
      <c r="A515" t="s">
        <v>80</v>
      </c>
      <c r="B515" t="s">
        <v>78</v>
      </c>
      <c r="C515" t="s">
        <v>31</v>
      </c>
      <c r="D515">
        <v>2021</v>
      </c>
      <c r="E515">
        <v>43071208</v>
      </c>
      <c r="F515">
        <v>487935979007</v>
      </c>
      <c r="G515">
        <v>120.46</v>
      </c>
      <c r="H515">
        <v>125.56</v>
      </c>
      <c r="I515">
        <v>0.38</v>
      </c>
      <c r="J515">
        <v>0</v>
      </c>
      <c r="K515">
        <v>3.73</v>
      </c>
      <c r="L515">
        <v>3.35</v>
      </c>
      <c r="M515">
        <v>0</v>
      </c>
      <c r="N515">
        <v>116.73</v>
      </c>
      <c r="O515">
        <v>0.315</v>
      </c>
      <c r="P515">
        <v>0</v>
      </c>
      <c r="Q515">
        <v>3.0960000000000001</v>
      </c>
      <c r="R515">
        <v>96.903999999999996</v>
      </c>
      <c r="S515">
        <v>3.0960000000000001</v>
      </c>
      <c r="T515">
        <v>677.74</v>
      </c>
      <c r="U515">
        <v>0.17</v>
      </c>
      <c r="V515">
        <v>0</v>
      </c>
      <c r="X515">
        <v>-17.8</v>
      </c>
      <c r="Y515" t="s">
        <v>81</v>
      </c>
    </row>
    <row r="516" spans="1:25" x14ac:dyDescent="0.25">
      <c r="A516" t="s">
        <v>80</v>
      </c>
      <c r="B516" t="s">
        <v>78</v>
      </c>
      <c r="C516" t="s">
        <v>31</v>
      </c>
      <c r="D516">
        <v>2022</v>
      </c>
      <c r="E516">
        <v>44070556</v>
      </c>
      <c r="F516">
        <v>527639326800</v>
      </c>
      <c r="G516">
        <v>133.86000000000001</v>
      </c>
      <c r="H516">
        <v>137.38999999999999</v>
      </c>
      <c r="I516">
        <v>0.38</v>
      </c>
      <c r="J516">
        <v>0</v>
      </c>
      <c r="K516">
        <v>3.03</v>
      </c>
      <c r="L516">
        <v>2.65</v>
      </c>
      <c r="M516">
        <v>0</v>
      </c>
      <c r="N516">
        <v>130.83000000000001</v>
      </c>
      <c r="O516">
        <v>0.28399999999999997</v>
      </c>
      <c r="P516">
        <v>0</v>
      </c>
      <c r="Q516">
        <v>2.2639999999999998</v>
      </c>
      <c r="R516">
        <v>97.736000000000004</v>
      </c>
      <c r="S516">
        <v>2.2639999999999998</v>
      </c>
      <c r="T516">
        <v>688.71</v>
      </c>
      <c r="U516">
        <v>0.17</v>
      </c>
      <c r="V516">
        <v>0</v>
      </c>
      <c r="X516">
        <v>-18.8</v>
      </c>
    </row>
    <row r="517" spans="1:25" x14ac:dyDescent="0.25">
      <c r="A517" t="s">
        <v>80</v>
      </c>
      <c r="B517" t="s">
        <v>78</v>
      </c>
      <c r="C517" t="s">
        <v>31</v>
      </c>
      <c r="D517">
        <v>2023</v>
      </c>
      <c r="E517">
        <v>45074055</v>
      </c>
      <c r="G517">
        <v>145.01</v>
      </c>
      <c r="H517">
        <v>151.83000000000001</v>
      </c>
      <c r="I517">
        <v>0.38</v>
      </c>
      <c r="J517">
        <v>0</v>
      </c>
      <c r="K517">
        <v>1.76</v>
      </c>
      <c r="L517">
        <v>1.38</v>
      </c>
      <c r="M517">
        <v>0</v>
      </c>
      <c r="N517">
        <v>143.25</v>
      </c>
      <c r="O517">
        <v>0.26200000000000001</v>
      </c>
      <c r="P517">
        <v>0</v>
      </c>
      <c r="Q517">
        <v>1.214</v>
      </c>
      <c r="R517">
        <v>98.786000000000001</v>
      </c>
      <c r="S517">
        <v>1.214</v>
      </c>
      <c r="T517">
        <v>685.13</v>
      </c>
      <c r="U517">
        <v>0.17</v>
      </c>
      <c r="V517">
        <v>0</v>
      </c>
      <c r="X517">
        <v>-41.9</v>
      </c>
    </row>
    <row r="518" spans="1:25" x14ac:dyDescent="0.25">
      <c r="A518" t="s">
        <v>80</v>
      </c>
      <c r="B518" t="s">
        <v>78</v>
      </c>
      <c r="C518" t="s">
        <v>31</v>
      </c>
      <c r="D518">
        <v>2024</v>
      </c>
      <c r="E518">
        <v>46042015</v>
      </c>
      <c r="G518">
        <v>149.72999999999999</v>
      </c>
      <c r="H518">
        <v>156.83000000000001</v>
      </c>
      <c r="I518">
        <v>0.43</v>
      </c>
      <c r="J518">
        <v>0</v>
      </c>
      <c r="K518">
        <v>2.4300000000000002</v>
      </c>
      <c r="L518">
        <v>2</v>
      </c>
      <c r="M518">
        <v>0</v>
      </c>
      <c r="N518">
        <v>147.30000000000001</v>
      </c>
      <c r="O518">
        <v>0.28699999999999998</v>
      </c>
      <c r="P518">
        <v>0</v>
      </c>
      <c r="Q518">
        <v>1.623</v>
      </c>
      <c r="R518">
        <v>98.376999999999995</v>
      </c>
      <c r="S518">
        <v>1.623</v>
      </c>
      <c r="T518">
        <v>683.1</v>
      </c>
      <c r="U518">
        <v>0.19</v>
      </c>
      <c r="V518">
        <v>13.2</v>
      </c>
      <c r="X518">
        <v>38.1</v>
      </c>
    </row>
    <row r="519" spans="1:25" x14ac:dyDescent="0.25">
      <c r="A519" t="s">
        <v>82</v>
      </c>
      <c r="B519" t="s">
        <v>78</v>
      </c>
      <c r="C519" t="s">
        <v>35</v>
      </c>
      <c r="D519">
        <v>2000</v>
      </c>
      <c r="E519">
        <v>6111194</v>
      </c>
      <c r="F519">
        <v>158656383479</v>
      </c>
      <c r="G519">
        <v>42.66</v>
      </c>
      <c r="H519">
        <v>41.2</v>
      </c>
      <c r="I519">
        <v>0</v>
      </c>
      <c r="J519">
        <v>0</v>
      </c>
      <c r="K519">
        <v>0.03</v>
      </c>
      <c r="L519">
        <v>0.03</v>
      </c>
      <c r="M519">
        <v>0</v>
      </c>
      <c r="N519">
        <v>42.63</v>
      </c>
      <c r="O519">
        <v>0</v>
      </c>
      <c r="P519">
        <v>0</v>
      </c>
      <c r="Q519">
        <v>7.0000000000000007E-2</v>
      </c>
      <c r="R519">
        <v>99.93</v>
      </c>
      <c r="S519">
        <v>7.0000000000000007E-2</v>
      </c>
      <c r="T519">
        <v>794.42</v>
      </c>
      <c r="U519">
        <v>0</v>
      </c>
    </row>
    <row r="520" spans="1:25" x14ac:dyDescent="0.25">
      <c r="A520" t="s">
        <v>82</v>
      </c>
      <c r="B520" t="s">
        <v>78</v>
      </c>
      <c r="C520" t="s">
        <v>35</v>
      </c>
      <c r="D520">
        <v>2001</v>
      </c>
      <c r="E520">
        <v>6259977</v>
      </c>
      <c r="F520">
        <v>158567053954</v>
      </c>
      <c r="G520">
        <v>43.95</v>
      </c>
      <c r="H520">
        <v>42.55</v>
      </c>
      <c r="I520">
        <v>0</v>
      </c>
      <c r="J520">
        <v>0.01</v>
      </c>
      <c r="K520">
        <v>0.02</v>
      </c>
      <c r="L520">
        <v>0.01</v>
      </c>
      <c r="M520">
        <v>0</v>
      </c>
      <c r="N520">
        <v>43.93</v>
      </c>
      <c r="O520">
        <v>0</v>
      </c>
      <c r="P520">
        <v>2.3E-2</v>
      </c>
      <c r="Q520">
        <v>4.5999999999999999E-2</v>
      </c>
      <c r="R520">
        <v>99.953999999999994</v>
      </c>
      <c r="S520">
        <v>4.5999999999999999E-2</v>
      </c>
      <c r="T520">
        <v>807.51</v>
      </c>
      <c r="U520">
        <v>0</v>
      </c>
      <c r="X520">
        <v>-33.299999999999997</v>
      </c>
    </row>
    <row r="521" spans="1:25" x14ac:dyDescent="0.25">
      <c r="A521" t="s">
        <v>82</v>
      </c>
      <c r="B521" t="s">
        <v>78</v>
      </c>
      <c r="C521" t="s">
        <v>35</v>
      </c>
      <c r="D521">
        <v>2002</v>
      </c>
      <c r="E521">
        <v>6387714</v>
      </c>
      <c r="F521">
        <v>158018046039</v>
      </c>
      <c r="G521">
        <v>45.5</v>
      </c>
      <c r="H521">
        <v>44.11</v>
      </c>
      <c r="I521">
        <v>0</v>
      </c>
      <c r="J521">
        <v>0.01</v>
      </c>
      <c r="K521">
        <v>0.03</v>
      </c>
      <c r="L521">
        <v>0.02</v>
      </c>
      <c r="M521">
        <v>0</v>
      </c>
      <c r="N521">
        <v>45.47</v>
      </c>
      <c r="O521">
        <v>0</v>
      </c>
      <c r="P521">
        <v>2.1999999999999999E-2</v>
      </c>
      <c r="Q521">
        <v>6.6000000000000003E-2</v>
      </c>
      <c r="R521">
        <v>99.933999999999997</v>
      </c>
      <c r="S521">
        <v>6.6000000000000003E-2</v>
      </c>
      <c r="T521">
        <v>811.65</v>
      </c>
      <c r="U521">
        <v>0</v>
      </c>
      <c r="W521">
        <v>0</v>
      </c>
      <c r="X521">
        <v>50</v>
      </c>
    </row>
    <row r="522" spans="1:25" x14ac:dyDescent="0.25">
      <c r="A522" t="s">
        <v>82</v>
      </c>
      <c r="B522" t="s">
        <v>78</v>
      </c>
      <c r="C522" t="s">
        <v>35</v>
      </c>
      <c r="D522">
        <v>2003</v>
      </c>
      <c r="E522">
        <v>6502821</v>
      </c>
      <c r="F522">
        <v>159162904545</v>
      </c>
      <c r="G522">
        <v>47.04</v>
      </c>
      <c r="H522">
        <v>45.57</v>
      </c>
      <c r="I522">
        <v>0</v>
      </c>
      <c r="J522">
        <v>0.01</v>
      </c>
      <c r="K522">
        <v>0.04</v>
      </c>
      <c r="L522">
        <v>0.03</v>
      </c>
      <c r="M522">
        <v>0</v>
      </c>
      <c r="N522">
        <v>47</v>
      </c>
      <c r="O522">
        <v>0</v>
      </c>
      <c r="P522">
        <v>2.1000000000000001E-2</v>
      </c>
      <c r="Q522">
        <v>8.5000000000000006E-2</v>
      </c>
      <c r="R522">
        <v>99.915000000000006</v>
      </c>
      <c r="S522">
        <v>8.5000000000000006E-2</v>
      </c>
      <c r="T522">
        <v>810.8</v>
      </c>
      <c r="U522">
        <v>0</v>
      </c>
      <c r="W522">
        <v>0</v>
      </c>
      <c r="X522">
        <v>33.299999999999997</v>
      </c>
    </row>
    <row r="523" spans="1:25" x14ac:dyDescent="0.25">
      <c r="A523" t="s">
        <v>82</v>
      </c>
      <c r="B523" t="s">
        <v>78</v>
      </c>
      <c r="C523" t="s">
        <v>35</v>
      </c>
      <c r="D523">
        <v>2004</v>
      </c>
      <c r="E523">
        <v>6615084</v>
      </c>
      <c r="F523">
        <v>166466423998</v>
      </c>
      <c r="G523">
        <v>47.28</v>
      </c>
      <c r="H523">
        <v>45.82</v>
      </c>
      <c r="I523">
        <v>0</v>
      </c>
      <c r="J523">
        <v>0.01</v>
      </c>
      <c r="K523">
        <v>0.04</v>
      </c>
      <c r="L523">
        <v>0.03</v>
      </c>
      <c r="M523">
        <v>0</v>
      </c>
      <c r="N523">
        <v>47.24</v>
      </c>
      <c r="O523">
        <v>0</v>
      </c>
      <c r="P523">
        <v>2.1000000000000001E-2</v>
      </c>
      <c r="Q523">
        <v>8.5000000000000006E-2</v>
      </c>
      <c r="R523">
        <v>99.915000000000006</v>
      </c>
      <c r="S523">
        <v>8.5000000000000006E-2</v>
      </c>
      <c r="T523">
        <v>803.72</v>
      </c>
      <c r="U523">
        <v>0</v>
      </c>
      <c r="W523">
        <v>0</v>
      </c>
      <c r="X523">
        <v>0</v>
      </c>
    </row>
    <row r="524" spans="1:25" x14ac:dyDescent="0.25">
      <c r="A524" t="s">
        <v>82</v>
      </c>
      <c r="B524" t="s">
        <v>78</v>
      </c>
      <c r="C524" t="s">
        <v>35</v>
      </c>
      <c r="D524">
        <v>2005</v>
      </c>
      <c r="E524">
        <v>6728212</v>
      </c>
      <c r="F524">
        <v>172697410123</v>
      </c>
      <c r="G524">
        <v>48.61</v>
      </c>
      <c r="H524">
        <v>46.94</v>
      </c>
      <c r="I524">
        <v>0</v>
      </c>
      <c r="J524">
        <v>0.01</v>
      </c>
      <c r="K524">
        <v>0.04</v>
      </c>
      <c r="L524">
        <v>0.03</v>
      </c>
      <c r="M524">
        <v>0</v>
      </c>
      <c r="N524">
        <v>48.57</v>
      </c>
      <c r="O524">
        <v>0</v>
      </c>
      <c r="P524">
        <v>2.1000000000000001E-2</v>
      </c>
      <c r="Q524">
        <v>8.2000000000000003E-2</v>
      </c>
      <c r="R524">
        <v>99.918000000000006</v>
      </c>
      <c r="S524">
        <v>8.2000000000000003E-2</v>
      </c>
      <c r="T524">
        <v>796.13</v>
      </c>
      <c r="U524">
        <v>0</v>
      </c>
      <c r="W524">
        <v>0</v>
      </c>
      <c r="X524">
        <v>0</v>
      </c>
    </row>
    <row r="525" spans="1:25" x14ac:dyDescent="0.25">
      <c r="A525" t="s">
        <v>82</v>
      </c>
      <c r="B525" t="s">
        <v>78</v>
      </c>
      <c r="C525" t="s">
        <v>35</v>
      </c>
      <c r="D525">
        <v>2006</v>
      </c>
      <c r="E525">
        <v>6844029</v>
      </c>
      <c r="F525">
        <v>181910800706</v>
      </c>
      <c r="G525">
        <v>50.56</v>
      </c>
      <c r="H525">
        <v>48.72</v>
      </c>
      <c r="I525">
        <v>0</v>
      </c>
      <c r="J525">
        <v>0.01</v>
      </c>
      <c r="K525">
        <v>0.02</v>
      </c>
      <c r="L525">
        <v>0.01</v>
      </c>
      <c r="M525">
        <v>0</v>
      </c>
      <c r="N525">
        <v>50.54</v>
      </c>
      <c r="O525">
        <v>0</v>
      </c>
      <c r="P525">
        <v>0.02</v>
      </c>
      <c r="Q525">
        <v>0.04</v>
      </c>
      <c r="R525">
        <v>99.96</v>
      </c>
      <c r="S525">
        <v>0.04</v>
      </c>
      <c r="T525">
        <v>783.43</v>
      </c>
      <c r="U525">
        <v>0</v>
      </c>
      <c r="W525">
        <v>0</v>
      </c>
      <c r="X525">
        <v>-50</v>
      </c>
    </row>
    <row r="526" spans="1:25" x14ac:dyDescent="0.25">
      <c r="A526" t="s">
        <v>82</v>
      </c>
      <c r="B526" t="s">
        <v>78</v>
      </c>
      <c r="C526" t="s">
        <v>35</v>
      </c>
      <c r="D526">
        <v>2007</v>
      </c>
      <c r="E526">
        <v>6962456</v>
      </c>
      <c r="F526">
        <v>192596811708</v>
      </c>
      <c r="G526">
        <v>53.79</v>
      </c>
      <c r="H526">
        <v>51.71</v>
      </c>
      <c r="I526">
        <v>0</v>
      </c>
      <c r="J526">
        <v>0.01</v>
      </c>
      <c r="K526">
        <v>0.02</v>
      </c>
      <c r="L526">
        <v>0.01</v>
      </c>
      <c r="M526">
        <v>0</v>
      </c>
      <c r="N526">
        <v>53.77</v>
      </c>
      <c r="O526">
        <v>0</v>
      </c>
      <c r="P526">
        <v>1.9E-2</v>
      </c>
      <c r="Q526">
        <v>3.6999999999999998E-2</v>
      </c>
      <c r="R526">
        <v>99.962999999999994</v>
      </c>
      <c r="S526">
        <v>3.6999999999999998E-2</v>
      </c>
      <c r="T526">
        <v>779.33</v>
      </c>
      <c r="U526">
        <v>0</v>
      </c>
      <c r="W526">
        <v>0</v>
      </c>
      <c r="X526">
        <v>0</v>
      </c>
    </row>
    <row r="527" spans="1:25" x14ac:dyDescent="0.25">
      <c r="A527" t="s">
        <v>82</v>
      </c>
      <c r="B527" t="s">
        <v>78</v>
      </c>
      <c r="C527" t="s">
        <v>35</v>
      </c>
      <c r="D527">
        <v>2008</v>
      </c>
      <c r="E527">
        <v>7082621</v>
      </c>
      <c r="F527">
        <v>197785749719</v>
      </c>
      <c r="G527">
        <v>56.79</v>
      </c>
      <c r="H527">
        <v>53.12</v>
      </c>
      <c r="I527">
        <v>0</v>
      </c>
      <c r="J527">
        <v>0.01</v>
      </c>
      <c r="K527">
        <v>0.04</v>
      </c>
      <c r="L527">
        <v>0.02</v>
      </c>
      <c r="M527">
        <v>0</v>
      </c>
      <c r="N527">
        <v>56.75</v>
      </c>
      <c r="O527">
        <v>0</v>
      </c>
      <c r="P527">
        <v>1.7999999999999999E-2</v>
      </c>
      <c r="Q527">
        <v>7.0000000000000007E-2</v>
      </c>
      <c r="R527">
        <v>99.93</v>
      </c>
      <c r="S527">
        <v>7.0000000000000007E-2</v>
      </c>
      <c r="T527">
        <v>758.41</v>
      </c>
      <c r="U527">
        <v>0</v>
      </c>
      <c r="W527">
        <v>0</v>
      </c>
      <c r="X527">
        <v>100</v>
      </c>
    </row>
    <row r="528" spans="1:25" x14ac:dyDescent="0.25">
      <c r="A528" t="s">
        <v>82</v>
      </c>
      <c r="B528" t="s">
        <v>78</v>
      </c>
      <c r="C528" t="s">
        <v>35</v>
      </c>
      <c r="D528">
        <v>2009</v>
      </c>
      <c r="E528">
        <v>7206096</v>
      </c>
      <c r="F528">
        <v>199771084186</v>
      </c>
      <c r="G528">
        <v>54.73</v>
      </c>
      <c r="H528">
        <v>50.95</v>
      </c>
      <c r="I528">
        <v>0.02</v>
      </c>
      <c r="J528">
        <v>0.01</v>
      </c>
      <c r="K528">
        <v>0.09</v>
      </c>
      <c r="L528">
        <v>0.02</v>
      </c>
      <c r="M528">
        <v>0</v>
      </c>
      <c r="N528">
        <v>54.64</v>
      </c>
      <c r="O528">
        <v>3.6999999999999998E-2</v>
      </c>
      <c r="P528">
        <v>1.7999999999999999E-2</v>
      </c>
      <c r="Q528">
        <v>0.16400000000000001</v>
      </c>
      <c r="R528">
        <v>99.835999999999999</v>
      </c>
      <c r="S528">
        <v>0.16400000000000001</v>
      </c>
      <c r="T528">
        <v>753.88</v>
      </c>
      <c r="U528">
        <v>0.01</v>
      </c>
      <c r="W528">
        <v>0</v>
      </c>
      <c r="X528">
        <v>125</v>
      </c>
    </row>
    <row r="529" spans="1:25" x14ac:dyDescent="0.25">
      <c r="A529" t="s">
        <v>82</v>
      </c>
      <c r="B529" t="s">
        <v>78</v>
      </c>
      <c r="C529" t="s">
        <v>35</v>
      </c>
      <c r="D529">
        <v>2010</v>
      </c>
      <c r="E529">
        <v>7336735</v>
      </c>
      <c r="F529">
        <v>210327630432</v>
      </c>
      <c r="G529">
        <v>58.55</v>
      </c>
      <c r="H529">
        <v>54.58</v>
      </c>
      <c r="I529">
        <v>7.0000000000000007E-2</v>
      </c>
      <c r="J529">
        <v>0.01</v>
      </c>
      <c r="K529">
        <v>0.17</v>
      </c>
      <c r="L529">
        <v>0.03</v>
      </c>
      <c r="M529">
        <v>0</v>
      </c>
      <c r="N529">
        <v>58.38</v>
      </c>
      <c r="O529">
        <v>0.12</v>
      </c>
      <c r="P529">
        <v>1.7000000000000001E-2</v>
      </c>
      <c r="Q529">
        <v>0.28999999999999998</v>
      </c>
      <c r="R529">
        <v>99.71</v>
      </c>
      <c r="S529">
        <v>0.28999999999999998</v>
      </c>
      <c r="T529">
        <v>740.73</v>
      </c>
      <c r="U529">
        <v>0.04</v>
      </c>
      <c r="V529">
        <v>250</v>
      </c>
      <c r="W529">
        <v>0</v>
      </c>
      <c r="X529">
        <v>88.9</v>
      </c>
    </row>
    <row r="530" spans="1:25" x14ac:dyDescent="0.25">
      <c r="A530" t="s">
        <v>82</v>
      </c>
      <c r="B530" t="s">
        <v>78</v>
      </c>
      <c r="C530" t="s">
        <v>35</v>
      </c>
      <c r="D530">
        <v>2011</v>
      </c>
      <c r="E530">
        <v>7471023</v>
      </c>
      <c r="F530">
        <v>220210380263</v>
      </c>
      <c r="G530">
        <v>59.6</v>
      </c>
      <c r="H530">
        <v>55.38</v>
      </c>
      <c r="I530">
        <v>0.19</v>
      </c>
      <c r="J530">
        <v>0.01</v>
      </c>
      <c r="K530">
        <v>0.3</v>
      </c>
      <c r="L530">
        <v>0.03</v>
      </c>
      <c r="M530">
        <v>0</v>
      </c>
      <c r="N530">
        <v>59.3</v>
      </c>
      <c r="O530">
        <v>0.31900000000000001</v>
      </c>
      <c r="P530">
        <v>1.7000000000000001E-2</v>
      </c>
      <c r="Q530">
        <v>0.503</v>
      </c>
      <c r="R530">
        <v>99.497</v>
      </c>
      <c r="S530">
        <v>0.503</v>
      </c>
      <c r="T530">
        <v>744.46</v>
      </c>
      <c r="U530">
        <v>0.09</v>
      </c>
      <c r="V530">
        <v>171.4</v>
      </c>
      <c r="W530">
        <v>0</v>
      </c>
      <c r="X530">
        <v>76.5</v>
      </c>
    </row>
    <row r="531" spans="1:25" x14ac:dyDescent="0.25">
      <c r="A531" t="s">
        <v>82</v>
      </c>
      <c r="B531" t="s">
        <v>78</v>
      </c>
      <c r="C531" t="s">
        <v>35</v>
      </c>
      <c r="D531">
        <v>2012</v>
      </c>
      <c r="E531">
        <v>7607781</v>
      </c>
      <c r="F531">
        <v>225909436249</v>
      </c>
      <c r="G531">
        <v>63.01</v>
      </c>
      <c r="H531">
        <v>58.58</v>
      </c>
      <c r="I531">
        <v>0.37</v>
      </c>
      <c r="J531">
        <v>0.01</v>
      </c>
      <c r="K531">
        <v>0.49</v>
      </c>
      <c r="L531">
        <v>0.03</v>
      </c>
      <c r="M531">
        <v>0</v>
      </c>
      <c r="N531">
        <v>62.52</v>
      </c>
      <c r="O531">
        <v>0.58699999999999997</v>
      </c>
      <c r="P531">
        <v>1.6E-2</v>
      </c>
      <c r="Q531">
        <v>0.77800000000000002</v>
      </c>
      <c r="R531">
        <v>99.221999999999994</v>
      </c>
      <c r="S531">
        <v>0.77800000000000002</v>
      </c>
      <c r="T531">
        <v>761.78</v>
      </c>
      <c r="U531">
        <v>0.17</v>
      </c>
      <c r="V531">
        <v>94.7</v>
      </c>
      <c r="W531">
        <v>0</v>
      </c>
      <c r="X531">
        <v>63.3</v>
      </c>
    </row>
    <row r="532" spans="1:25" x14ac:dyDescent="0.25">
      <c r="A532" t="s">
        <v>82</v>
      </c>
      <c r="B532" t="s">
        <v>78</v>
      </c>
      <c r="C532" t="s">
        <v>35</v>
      </c>
      <c r="D532">
        <v>2013</v>
      </c>
      <c r="E532">
        <v>7749369</v>
      </c>
      <c r="F532">
        <v>235885601546</v>
      </c>
      <c r="G532">
        <v>61.32</v>
      </c>
      <c r="H532">
        <v>56.64</v>
      </c>
      <c r="I532">
        <v>0.49</v>
      </c>
      <c r="J532">
        <v>0.01</v>
      </c>
      <c r="K532">
        <v>0.56999999999999995</v>
      </c>
      <c r="L532">
        <v>0.03</v>
      </c>
      <c r="M532">
        <v>0</v>
      </c>
      <c r="N532">
        <v>60.75</v>
      </c>
      <c r="O532">
        <v>0.79900000000000004</v>
      </c>
      <c r="P532">
        <v>1.6E-2</v>
      </c>
      <c r="Q532">
        <v>0.93</v>
      </c>
      <c r="R532">
        <v>99.07</v>
      </c>
      <c r="S532">
        <v>0.93</v>
      </c>
      <c r="T532">
        <v>719.83</v>
      </c>
      <c r="U532">
        <v>0.22</v>
      </c>
      <c r="V532">
        <v>32.4</v>
      </c>
      <c r="W532">
        <v>0</v>
      </c>
      <c r="X532">
        <v>16.3</v>
      </c>
    </row>
    <row r="533" spans="1:25" x14ac:dyDescent="0.25">
      <c r="A533" t="s">
        <v>82</v>
      </c>
      <c r="B533" t="s">
        <v>78</v>
      </c>
      <c r="C533" t="s">
        <v>35</v>
      </c>
      <c r="D533">
        <v>2014</v>
      </c>
      <c r="E533">
        <v>7897173</v>
      </c>
      <c r="F533">
        <v>245129958334</v>
      </c>
      <c r="G533">
        <v>60.86</v>
      </c>
      <c r="H533">
        <v>56.02</v>
      </c>
      <c r="I533">
        <v>0.88</v>
      </c>
      <c r="J533">
        <v>0.01</v>
      </c>
      <c r="K533">
        <v>0.96</v>
      </c>
      <c r="L533">
        <v>0.01</v>
      </c>
      <c r="M533">
        <v>0</v>
      </c>
      <c r="N533">
        <v>59.9</v>
      </c>
      <c r="O533">
        <v>1.446</v>
      </c>
      <c r="P533">
        <v>1.6E-2</v>
      </c>
      <c r="Q533">
        <v>1.577</v>
      </c>
      <c r="R533">
        <v>98.423000000000002</v>
      </c>
      <c r="S533">
        <v>1.577</v>
      </c>
      <c r="T533">
        <v>705.39</v>
      </c>
      <c r="U533">
        <v>0.4</v>
      </c>
      <c r="V533">
        <v>79.599999999999994</v>
      </c>
      <c r="W533">
        <v>0</v>
      </c>
      <c r="X533">
        <v>68.400000000000006</v>
      </c>
    </row>
    <row r="534" spans="1:25" x14ac:dyDescent="0.25">
      <c r="A534" t="s">
        <v>82</v>
      </c>
      <c r="B534" t="s">
        <v>78</v>
      </c>
      <c r="C534" t="s">
        <v>35</v>
      </c>
      <c r="D534">
        <v>2015</v>
      </c>
      <c r="E534">
        <v>8052916</v>
      </c>
      <c r="F534">
        <v>251223879854</v>
      </c>
      <c r="G534">
        <v>64.23</v>
      </c>
      <c r="H534">
        <v>59.03</v>
      </c>
      <c r="I534">
        <v>1.1200000000000001</v>
      </c>
      <c r="J534">
        <v>0.01</v>
      </c>
      <c r="K534">
        <v>1.22</v>
      </c>
      <c r="L534">
        <v>0.02</v>
      </c>
      <c r="M534">
        <v>0</v>
      </c>
      <c r="N534">
        <v>63.01</v>
      </c>
      <c r="O534">
        <v>1.744</v>
      </c>
      <c r="P534">
        <v>1.6E-2</v>
      </c>
      <c r="Q534">
        <v>1.899</v>
      </c>
      <c r="R534">
        <v>98.100999999999999</v>
      </c>
      <c r="S534">
        <v>1.899</v>
      </c>
      <c r="T534">
        <v>692.67</v>
      </c>
      <c r="U534">
        <v>0.51</v>
      </c>
      <c r="V534">
        <v>27.3</v>
      </c>
      <c r="W534">
        <v>0</v>
      </c>
      <c r="X534">
        <v>27.1</v>
      </c>
    </row>
    <row r="535" spans="1:25" x14ac:dyDescent="0.25">
      <c r="A535" t="s">
        <v>82</v>
      </c>
      <c r="B535" t="s">
        <v>78</v>
      </c>
      <c r="C535" t="s">
        <v>35</v>
      </c>
      <c r="D535">
        <v>2016</v>
      </c>
      <c r="E535">
        <v>8210006</v>
      </c>
      <c r="F535">
        <v>262584215516</v>
      </c>
      <c r="G535">
        <v>67.010000000000005</v>
      </c>
      <c r="H535">
        <v>61.46</v>
      </c>
      <c r="I535">
        <v>1.54</v>
      </c>
      <c r="J535">
        <v>0.05</v>
      </c>
      <c r="K535">
        <v>1.7</v>
      </c>
      <c r="L535">
        <v>0</v>
      </c>
      <c r="M535">
        <v>0</v>
      </c>
      <c r="N535">
        <v>65.31</v>
      </c>
      <c r="O535">
        <v>2.298</v>
      </c>
      <c r="P535">
        <v>7.4999999999999997E-2</v>
      </c>
      <c r="Q535">
        <v>2.5369999999999999</v>
      </c>
      <c r="R535">
        <v>97.462999999999994</v>
      </c>
      <c r="S535">
        <v>2.5369999999999999</v>
      </c>
      <c r="T535">
        <v>662.14</v>
      </c>
      <c r="U535">
        <v>0.72</v>
      </c>
      <c r="V535">
        <v>37.5</v>
      </c>
      <c r="W535">
        <v>400</v>
      </c>
      <c r="X535">
        <v>39.299999999999997</v>
      </c>
    </row>
    <row r="536" spans="1:25" x14ac:dyDescent="0.25">
      <c r="A536" t="s">
        <v>82</v>
      </c>
      <c r="B536" t="s">
        <v>78</v>
      </c>
      <c r="C536" t="s">
        <v>35</v>
      </c>
      <c r="D536">
        <v>2017</v>
      </c>
      <c r="E536">
        <v>8361796</v>
      </c>
      <c r="F536">
        <v>273812314306</v>
      </c>
      <c r="G536">
        <v>67.44</v>
      </c>
      <c r="H536">
        <v>61.79</v>
      </c>
      <c r="I536">
        <v>1.51</v>
      </c>
      <c r="J536">
        <v>0.18</v>
      </c>
      <c r="K536">
        <v>1.69</v>
      </c>
      <c r="L536">
        <v>0</v>
      </c>
      <c r="M536">
        <v>0</v>
      </c>
      <c r="N536">
        <v>65.75</v>
      </c>
      <c r="O536">
        <v>2.2389999999999999</v>
      </c>
      <c r="P536">
        <v>0.26700000000000002</v>
      </c>
      <c r="Q536">
        <v>2.5059999999999998</v>
      </c>
      <c r="R536">
        <v>97.494</v>
      </c>
      <c r="S536">
        <v>2.5059999999999998</v>
      </c>
      <c r="T536">
        <v>653.16999999999996</v>
      </c>
      <c r="U536">
        <v>0.76</v>
      </c>
      <c r="V536">
        <v>-1.9</v>
      </c>
      <c r="W536">
        <v>260</v>
      </c>
      <c r="X536">
        <v>-0.6</v>
      </c>
    </row>
    <row r="537" spans="1:25" x14ac:dyDescent="0.25">
      <c r="A537" t="s">
        <v>82</v>
      </c>
      <c r="B537" t="s">
        <v>78</v>
      </c>
      <c r="C537" t="s">
        <v>35</v>
      </c>
      <c r="D537">
        <v>2018</v>
      </c>
      <c r="E537">
        <v>8510067</v>
      </c>
      <c r="F537">
        <v>284956472967</v>
      </c>
      <c r="G537">
        <v>69.02</v>
      </c>
      <c r="H537">
        <v>63.16</v>
      </c>
      <c r="I537">
        <v>1.57</v>
      </c>
      <c r="J537">
        <v>0.18</v>
      </c>
      <c r="K537">
        <v>1.88</v>
      </c>
      <c r="L537">
        <v>0</v>
      </c>
      <c r="M537">
        <v>0</v>
      </c>
      <c r="N537">
        <v>67.14</v>
      </c>
      <c r="O537">
        <v>2.2749999999999999</v>
      </c>
      <c r="P537">
        <v>0.26100000000000001</v>
      </c>
      <c r="Q537">
        <v>2.7240000000000002</v>
      </c>
      <c r="R537">
        <v>97.275999999999996</v>
      </c>
      <c r="S537">
        <v>2.7240000000000002</v>
      </c>
      <c r="T537">
        <v>643.58000000000004</v>
      </c>
      <c r="U537">
        <v>0.79</v>
      </c>
      <c r="V537">
        <v>4</v>
      </c>
      <c r="W537">
        <v>0</v>
      </c>
      <c r="X537">
        <v>11.2</v>
      </c>
    </row>
    <row r="538" spans="1:25" x14ac:dyDescent="0.25">
      <c r="A538" t="s">
        <v>82</v>
      </c>
      <c r="B538" t="s">
        <v>78</v>
      </c>
      <c r="C538" t="s">
        <v>35</v>
      </c>
      <c r="D538">
        <v>2019</v>
      </c>
      <c r="E538">
        <v>8657466</v>
      </c>
      <c r="F538">
        <v>296799271432</v>
      </c>
      <c r="G538">
        <v>72.709999999999994</v>
      </c>
      <c r="H538">
        <v>66.400000000000006</v>
      </c>
      <c r="I538">
        <v>3.21</v>
      </c>
      <c r="J538">
        <v>0.19</v>
      </c>
      <c r="K538">
        <v>3.51</v>
      </c>
      <c r="L538">
        <v>0</v>
      </c>
      <c r="M538">
        <v>0</v>
      </c>
      <c r="N538">
        <v>69.2</v>
      </c>
      <c r="O538">
        <v>4.415</v>
      </c>
      <c r="P538">
        <v>0.26100000000000001</v>
      </c>
      <c r="Q538">
        <v>4.827</v>
      </c>
      <c r="R538">
        <v>95.173000000000002</v>
      </c>
      <c r="S538">
        <v>4.827</v>
      </c>
      <c r="T538">
        <v>634.03</v>
      </c>
      <c r="U538">
        <v>1.53</v>
      </c>
      <c r="V538">
        <v>104.5</v>
      </c>
      <c r="W538">
        <v>5.6</v>
      </c>
      <c r="X538">
        <v>86.7</v>
      </c>
    </row>
    <row r="539" spans="1:25" x14ac:dyDescent="0.25">
      <c r="A539" t="s">
        <v>82</v>
      </c>
      <c r="B539" t="s">
        <v>78</v>
      </c>
      <c r="C539" t="s">
        <v>35</v>
      </c>
      <c r="D539">
        <v>2020</v>
      </c>
      <c r="E539">
        <v>8800380</v>
      </c>
      <c r="F539">
        <v>291287719910</v>
      </c>
      <c r="G539">
        <v>72.739999999999995</v>
      </c>
      <c r="H539">
        <v>66.5</v>
      </c>
      <c r="I539">
        <v>4.0999999999999996</v>
      </c>
      <c r="J539">
        <v>0.2</v>
      </c>
      <c r="K539">
        <v>4.4400000000000004</v>
      </c>
      <c r="L539">
        <v>0.02</v>
      </c>
      <c r="M539">
        <v>0</v>
      </c>
      <c r="N539">
        <v>68.3</v>
      </c>
      <c r="O539">
        <v>5.6369999999999996</v>
      </c>
      <c r="P539">
        <v>0.27500000000000002</v>
      </c>
      <c r="Q539">
        <v>6.1040000000000001</v>
      </c>
      <c r="R539">
        <v>93.896000000000001</v>
      </c>
      <c r="S539">
        <v>6.1040000000000001</v>
      </c>
      <c r="T539">
        <v>615.21</v>
      </c>
      <c r="U539">
        <v>1.94</v>
      </c>
      <c r="V539">
        <v>27.7</v>
      </c>
      <c r="W539">
        <v>5.3</v>
      </c>
      <c r="X539">
        <v>26.5</v>
      </c>
    </row>
    <row r="540" spans="1:25" x14ac:dyDescent="0.25">
      <c r="A540" t="s">
        <v>82</v>
      </c>
      <c r="B540" t="s">
        <v>78</v>
      </c>
      <c r="C540" t="s">
        <v>35</v>
      </c>
      <c r="D540">
        <v>2021</v>
      </c>
      <c r="E540">
        <v>8942925</v>
      </c>
      <c r="F540">
        <v>316373426613</v>
      </c>
      <c r="G540">
        <v>74.12</v>
      </c>
      <c r="H540">
        <v>67.599999999999994</v>
      </c>
      <c r="I540">
        <v>5.52</v>
      </c>
      <c r="J540">
        <v>0.18</v>
      </c>
      <c r="K540">
        <v>5.82</v>
      </c>
      <c r="L540">
        <v>0.02</v>
      </c>
      <c r="M540">
        <v>0</v>
      </c>
      <c r="N540">
        <v>68.3</v>
      </c>
      <c r="O540">
        <v>7.4470000000000001</v>
      </c>
      <c r="P540">
        <v>0.24299999999999999</v>
      </c>
      <c r="Q540">
        <v>7.8520000000000003</v>
      </c>
      <c r="R540">
        <v>92.147999999999996</v>
      </c>
      <c r="S540">
        <v>7.8520000000000003</v>
      </c>
      <c r="T540">
        <v>596.33000000000004</v>
      </c>
      <c r="U540">
        <v>2.56</v>
      </c>
      <c r="V540">
        <v>34.6</v>
      </c>
      <c r="W540">
        <v>-10</v>
      </c>
      <c r="X540">
        <v>31.1</v>
      </c>
      <c r="Y540" t="s">
        <v>83</v>
      </c>
    </row>
    <row r="541" spans="1:25" x14ac:dyDescent="0.25">
      <c r="A541" t="s">
        <v>82</v>
      </c>
      <c r="B541" t="s">
        <v>78</v>
      </c>
      <c r="C541" t="s">
        <v>35</v>
      </c>
      <c r="D541">
        <v>2022</v>
      </c>
      <c r="E541">
        <v>9103143</v>
      </c>
      <c r="F541">
        <v>336722563455</v>
      </c>
      <c r="G541">
        <v>76.87</v>
      </c>
      <c r="H541">
        <v>69.95</v>
      </c>
      <c r="I541">
        <v>7.05</v>
      </c>
      <c r="J541">
        <v>0.28999999999999998</v>
      </c>
      <c r="K541">
        <v>7.47</v>
      </c>
      <c r="L541">
        <v>0.02</v>
      </c>
      <c r="M541">
        <v>0</v>
      </c>
      <c r="N541">
        <v>69.400000000000006</v>
      </c>
      <c r="O541">
        <v>9.1709999999999994</v>
      </c>
      <c r="P541">
        <v>0.377</v>
      </c>
      <c r="Q541">
        <v>9.718</v>
      </c>
      <c r="R541">
        <v>90.281999999999996</v>
      </c>
      <c r="S541">
        <v>9.718</v>
      </c>
      <c r="T541">
        <v>583.32000000000005</v>
      </c>
      <c r="U541">
        <v>3.3</v>
      </c>
      <c r="V541">
        <v>27.7</v>
      </c>
      <c r="W541">
        <v>61.1</v>
      </c>
      <c r="X541">
        <v>28.4</v>
      </c>
    </row>
    <row r="542" spans="1:25" x14ac:dyDescent="0.25">
      <c r="A542" t="s">
        <v>82</v>
      </c>
      <c r="B542" t="s">
        <v>78</v>
      </c>
      <c r="C542" t="s">
        <v>35</v>
      </c>
      <c r="D542">
        <v>2023</v>
      </c>
      <c r="E542">
        <v>9256311</v>
      </c>
      <c r="G542">
        <v>77.430000000000007</v>
      </c>
      <c r="H542">
        <v>70.5</v>
      </c>
      <c r="I542">
        <v>8.56</v>
      </c>
      <c r="J542">
        <v>0.46</v>
      </c>
      <c r="K542">
        <v>9.1300000000000008</v>
      </c>
      <c r="L542">
        <v>0</v>
      </c>
      <c r="M542">
        <v>0</v>
      </c>
      <c r="N542">
        <v>68.3</v>
      </c>
      <c r="O542">
        <v>11.055</v>
      </c>
      <c r="P542">
        <v>0.59399999999999997</v>
      </c>
      <c r="Q542">
        <v>11.791</v>
      </c>
      <c r="R542">
        <v>88.209000000000003</v>
      </c>
      <c r="S542">
        <v>11.791</v>
      </c>
      <c r="T542">
        <v>558.83000000000004</v>
      </c>
      <c r="U542">
        <v>4.0599999999999996</v>
      </c>
      <c r="V542">
        <v>21.4</v>
      </c>
      <c r="W542">
        <v>58.6</v>
      </c>
      <c r="X542">
        <v>22.2</v>
      </c>
    </row>
    <row r="543" spans="1:25" x14ac:dyDescent="0.25">
      <c r="A543" t="s">
        <v>82</v>
      </c>
      <c r="B543" t="s">
        <v>78</v>
      </c>
      <c r="C543" t="s">
        <v>35</v>
      </c>
      <c r="D543">
        <v>2024</v>
      </c>
      <c r="E543">
        <v>9387015</v>
      </c>
      <c r="G543">
        <v>80.400000000000006</v>
      </c>
      <c r="H543">
        <v>74</v>
      </c>
      <c r="I543">
        <v>10.52</v>
      </c>
      <c r="J543">
        <v>0.46</v>
      </c>
      <c r="K543">
        <v>11.1</v>
      </c>
      <c r="L543">
        <v>0.01</v>
      </c>
      <c r="M543">
        <v>0</v>
      </c>
      <c r="N543">
        <v>69.3</v>
      </c>
      <c r="O543">
        <v>13.085000000000001</v>
      </c>
      <c r="P543">
        <v>0.57199999999999995</v>
      </c>
      <c r="Q543">
        <v>13.805999999999999</v>
      </c>
      <c r="R543">
        <v>86.194000000000003</v>
      </c>
      <c r="S543">
        <v>13.805999999999999</v>
      </c>
      <c r="T543">
        <v>540.54999999999995</v>
      </c>
      <c r="U543">
        <v>4.9400000000000004</v>
      </c>
      <c r="V543">
        <v>22.9</v>
      </c>
      <c r="W543">
        <v>0</v>
      </c>
      <c r="X543">
        <v>21.6</v>
      </c>
    </row>
    <row r="544" spans="1:25" x14ac:dyDescent="0.25">
      <c r="A544" t="s">
        <v>82</v>
      </c>
      <c r="B544" t="s">
        <v>78</v>
      </c>
      <c r="C544" t="s">
        <v>35</v>
      </c>
      <c r="D544">
        <v>2025</v>
      </c>
      <c r="E544">
        <v>9517182</v>
      </c>
      <c r="G544">
        <v>82.1</v>
      </c>
      <c r="H544">
        <v>75.7</v>
      </c>
      <c r="I544">
        <v>13.28</v>
      </c>
      <c r="J544">
        <v>0.46</v>
      </c>
      <c r="K544">
        <v>13.9</v>
      </c>
      <c r="L544">
        <v>0</v>
      </c>
      <c r="M544">
        <v>0</v>
      </c>
      <c r="N544">
        <v>68.2</v>
      </c>
      <c r="O544">
        <v>16.175000000000001</v>
      </c>
      <c r="P544">
        <v>0.56000000000000005</v>
      </c>
      <c r="Q544">
        <v>16.931000000000001</v>
      </c>
      <c r="R544">
        <v>83.069000000000003</v>
      </c>
      <c r="S544">
        <v>16.931000000000001</v>
      </c>
      <c r="T544">
        <v>492.69</v>
      </c>
      <c r="U544">
        <v>6.18</v>
      </c>
      <c r="V544">
        <v>26.2</v>
      </c>
      <c r="W544">
        <v>0</v>
      </c>
      <c r="X544">
        <v>25.2</v>
      </c>
    </row>
    <row r="545" spans="1:24" x14ac:dyDescent="0.25">
      <c r="A545" t="s">
        <v>84</v>
      </c>
      <c r="B545" t="s">
        <v>38</v>
      </c>
      <c r="C545" t="s">
        <v>35</v>
      </c>
      <c r="D545">
        <v>2000</v>
      </c>
      <c r="E545">
        <v>57272200</v>
      </c>
      <c r="F545">
        <v>1863751547560</v>
      </c>
      <c r="G545">
        <v>269.94</v>
      </c>
      <c r="H545">
        <v>314.29000000000002</v>
      </c>
      <c r="I545">
        <v>0.02</v>
      </c>
      <c r="J545">
        <v>0.56000000000000005</v>
      </c>
      <c r="K545">
        <v>50.87</v>
      </c>
      <c r="L545">
        <v>44.2</v>
      </c>
      <c r="M545">
        <v>0</v>
      </c>
      <c r="N545">
        <v>219.07</v>
      </c>
      <c r="O545">
        <v>7.0000000000000001E-3</v>
      </c>
      <c r="P545">
        <v>0.20699999999999999</v>
      </c>
      <c r="Q545">
        <v>18.844999999999999</v>
      </c>
      <c r="R545">
        <v>81.155000000000001</v>
      </c>
      <c r="S545">
        <v>18.844999999999999</v>
      </c>
      <c r="T545">
        <v>501.67</v>
      </c>
      <c r="U545">
        <v>0.26</v>
      </c>
    </row>
    <row r="546" spans="1:24" x14ac:dyDescent="0.25">
      <c r="A546" t="s">
        <v>84</v>
      </c>
      <c r="B546" t="s">
        <v>38</v>
      </c>
      <c r="C546" t="s">
        <v>35</v>
      </c>
      <c r="D546">
        <v>2001</v>
      </c>
      <c r="E546">
        <v>57305760</v>
      </c>
      <c r="F546">
        <v>1910272015654</v>
      </c>
      <c r="G546">
        <v>271.89999999999998</v>
      </c>
      <c r="H546">
        <v>320.27999999999997</v>
      </c>
      <c r="I546">
        <v>0.02</v>
      </c>
      <c r="J546">
        <v>1.18</v>
      </c>
      <c r="K546">
        <v>54.35</v>
      </c>
      <c r="L546">
        <v>46.81</v>
      </c>
      <c r="M546">
        <v>0</v>
      </c>
      <c r="N546">
        <v>217.55</v>
      </c>
      <c r="O546">
        <v>7.0000000000000001E-3</v>
      </c>
      <c r="P546">
        <v>0.434</v>
      </c>
      <c r="Q546">
        <v>19.989000000000001</v>
      </c>
      <c r="R546">
        <v>80.010999999999996</v>
      </c>
      <c r="S546">
        <v>19.989000000000001</v>
      </c>
      <c r="T546">
        <v>498.68</v>
      </c>
      <c r="U546">
        <v>0.54</v>
      </c>
      <c r="V546">
        <v>0</v>
      </c>
      <c r="W546">
        <v>110.7</v>
      </c>
      <c r="X546">
        <v>6.8</v>
      </c>
    </row>
    <row r="547" spans="1:24" x14ac:dyDescent="0.25">
      <c r="A547" t="s">
        <v>84</v>
      </c>
      <c r="B547" t="s">
        <v>38</v>
      </c>
      <c r="C547" t="s">
        <v>35</v>
      </c>
      <c r="D547">
        <v>2002</v>
      </c>
      <c r="E547">
        <v>57420636</v>
      </c>
      <c r="F547">
        <v>1929301903714</v>
      </c>
      <c r="G547">
        <v>277.52999999999997</v>
      </c>
      <c r="H547">
        <v>328.13</v>
      </c>
      <c r="I547">
        <v>0.02</v>
      </c>
      <c r="J547">
        <v>1.4</v>
      </c>
      <c r="K547">
        <v>48.31</v>
      </c>
      <c r="L547">
        <v>39.520000000000003</v>
      </c>
      <c r="M547">
        <v>0</v>
      </c>
      <c r="N547">
        <v>229.22</v>
      </c>
      <c r="O547">
        <v>7.0000000000000001E-3</v>
      </c>
      <c r="P547">
        <v>0.504</v>
      </c>
      <c r="Q547">
        <v>17.407</v>
      </c>
      <c r="R547">
        <v>82.593000000000004</v>
      </c>
      <c r="S547">
        <v>17.407</v>
      </c>
      <c r="T547">
        <v>523.08000000000004</v>
      </c>
      <c r="U547">
        <v>0.64</v>
      </c>
      <c r="V547">
        <v>0</v>
      </c>
      <c r="W547">
        <v>18.600000000000001</v>
      </c>
      <c r="X547">
        <v>-11.1</v>
      </c>
    </row>
    <row r="548" spans="1:24" x14ac:dyDescent="0.25">
      <c r="A548" t="s">
        <v>84</v>
      </c>
      <c r="B548" t="s">
        <v>38</v>
      </c>
      <c r="C548" t="s">
        <v>35</v>
      </c>
      <c r="D548">
        <v>2003</v>
      </c>
      <c r="E548">
        <v>57739697</v>
      </c>
      <c r="F548">
        <v>1947667703883</v>
      </c>
      <c r="G548">
        <v>286.27</v>
      </c>
      <c r="H548">
        <v>337.24</v>
      </c>
      <c r="I548">
        <v>0.02</v>
      </c>
      <c r="J548">
        <v>1.46</v>
      </c>
      <c r="K548">
        <v>46.86</v>
      </c>
      <c r="L548">
        <v>36.67</v>
      </c>
      <c r="M548">
        <v>0</v>
      </c>
      <c r="N548">
        <v>239.41</v>
      </c>
      <c r="O548">
        <v>7.0000000000000001E-3</v>
      </c>
      <c r="P548">
        <v>0.51</v>
      </c>
      <c r="Q548">
        <v>16.369</v>
      </c>
      <c r="R548">
        <v>83.631</v>
      </c>
      <c r="S548">
        <v>16.369</v>
      </c>
      <c r="T548">
        <v>523.25</v>
      </c>
      <c r="U548">
        <v>0.67</v>
      </c>
      <c r="V548">
        <v>0</v>
      </c>
      <c r="W548">
        <v>4.3</v>
      </c>
      <c r="X548">
        <v>-3</v>
      </c>
    </row>
    <row r="549" spans="1:24" x14ac:dyDescent="0.25">
      <c r="A549" t="s">
        <v>84</v>
      </c>
      <c r="B549" t="s">
        <v>38</v>
      </c>
      <c r="C549" t="s">
        <v>35</v>
      </c>
      <c r="D549">
        <v>2004</v>
      </c>
      <c r="E549">
        <v>58176736</v>
      </c>
      <c r="F549">
        <v>1994293720592</v>
      </c>
      <c r="G549">
        <v>293.70999999999998</v>
      </c>
      <c r="H549">
        <v>339.34</v>
      </c>
      <c r="I549">
        <v>0.03</v>
      </c>
      <c r="J549">
        <v>1.84</v>
      </c>
      <c r="K549">
        <v>53.87</v>
      </c>
      <c r="L549">
        <v>42.34</v>
      </c>
      <c r="M549">
        <v>0</v>
      </c>
      <c r="N549">
        <v>239.84</v>
      </c>
      <c r="O549">
        <v>0.01</v>
      </c>
      <c r="P549">
        <v>0.626</v>
      </c>
      <c r="Q549">
        <v>18.341000000000001</v>
      </c>
      <c r="R549">
        <v>81.659000000000006</v>
      </c>
      <c r="S549">
        <v>18.341000000000001</v>
      </c>
      <c r="T549">
        <v>510.98</v>
      </c>
      <c r="U549">
        <v>0.84</v>
      </c>
      <c r="V549">
        <v>50</v>
      </c>
      <c r="W549">
        <v>26</v>
      </c>
      <c r="X549">
        <v>15</v>
      </c>
    </row>
    <row r="550" spans="1:24" x14ac:dyDescent="0.25">
      <c r="A550" t="s">
        <v>84</v>
      </c>
      <c r="B550" t="s">
        <v>38</v>
      </c>
      <c r="C550" t="s">
        <v>35</v>
      </c>
      <c r="D550">
        <v>2005</v>
      </c>
      <c r="E550">
        <v>58519696</v>
      </c>
      <c r="F550">
        <v>2029243417217</v>
      </c>
      <c r="G550">
        <v>294.63</v>
      </c>
      <c r="H550">
        <v>343.78</v>
      </c>
      <c r="I550">
        <v>0.03</v>
      </c>
      <c r="J550">
        <v>2.34</v>
      </c>
      <c r="K550">
        <v>48.43</v>
      </c>
      <c r="L550">
        <v>36.07</v>
      </c>
      <c r="M550">
        <v>0</v>
      </c>
      <c r="N550">
        <v>246.2</v>
      </c>
      <c r="O550">
        <v>0.01</v>
      </c>
      <c r="P550">
        <v>0.79400000000000004</v>
      </c>
      <c r="Q550">
        <v>16.437999999999999</v>
      </c>
      <c r="R550">
        <v>83.561999999999998</v>
      </c>
      <c r="S550">
        <v>16.437999999999999</v>
      </c>
      <c r="T550">
        <v>510.17</v>
      </c>
      <c r="U550">
        <v>1.07</v>
      </c>
      <c r="V550">
        <v>0</v>
      </c>
      <c r="W550">
        <v>27.2</v>
      </c>
      <c r="X550">
        <v>-10.1</v>
      </c>
    </row>
    <row r="551" spans="1:24" x14ac:dyDescent="0.25">
      <c r="A551" t="s">
        <v>84</v>
      </c>
      <c r="B551" t="s">
        <v>38</v>
      </c>
      <c r="C551" t="s">
        <v>35</v>
      </c>
      <c r="D551">
        <v>2006</v>
      </c>
      <c r="E551">
        <v>58754434</v>
      </c>
      <c r="F551">
        <v>2086553648584</v>
      </c>
      <c r="G551">
        <v>305.61</v>
      </c>
      <c r="H551">
        <v>350.6</v>
      </c>
      <c r="I551">
        <v>0.04</v>
      </c>
      <c r="J551">
        <v>2.97</v>
      </c>
      <c r="K551">
        <v>50.64</v>
      </c>
      <c r="L551">
        <v>36.99</v>
      </c>
      <c r="M551">
        <v>0</v>
      </c>
      <c r="N551">
        <v>254.97</v>
      </c>
      <c r="O551">
        <v>1.2999999999999999E-2</v>
      </c>
      <c r="P551">
        <v>0.97199999999999998</v>
      </c>
      <c r="Q551">
        <v>16.57</v>
      </c>
      <c r="R551">
        <v>83.43</v>
      </c>
      <c r="S551">
        <v>16.57</v>
      </c>
      <c r="T551">
        <v>506.76</v>
      </c>
      <c r="U551">
        <v>1.35</v>
      </c>
      <c r="V551">
        <v>33.299999999999997</v>
      </c>
      <c r="W551">
        <v>26.9</v>
      </c>
      <c r="X551">
        <v>4.5999999999999996</v>
      </c>
    </row>
    <row r="552" spans="1:24" x14ac:dyDescent="0.25">
      <c r="A552" t="s">
        <v>84</v>
      </c>
      <c r="B552" t="s">
        <v>38</v>
      </c>
      <c r="C552" t="s">
        <v>35</v>
      </c>
      <c r="D552">
        <v>2007</v>
      </c>
      <c r="E552">
        <v>59108723</v>
      </c>
      <c r="F552">
        <v>2134371774096</v>
      </c>
      <c r="G552">
        <v>306.17</v>
      </c>
      <c r="H552">
        <v>352.45</v>
      </c>
      <c r="I552">
        <v>0.04</v>
      </c>
      <c r="J552">
        <v>4.03</v>
      </c>
      <c r="K552">
        <v>47.72</v>
      </c>
      <c r="L552">
        <v>32.82</v>
      </c>
      <c r="M552">
        <v>0</v>
      </c>
      <c r="N552">
        <v>258.45</v>
      </c>
      <c r="O552">
        <v>1.2999999999999999E-2</v>
      </c>
      <c r="P552">
        <v>1.3160000000000001</v>
      </c>
      <c r="Q552">
        <v>15.586</v>
      </c>
      <c r="R552">
        <v>84.414000000000001</v>
      </c>
      <c r="S552">
        <v>15.586</v>
      </c>
      <c r="T552">
        <v>504.75</v>
      </c>
      <c r="U552">
        <v>1.83</v>
      </c>
      <c r="V552">
        <v>0</v>
      </c>
      <c r="W552">
        <v>35.700000000000003</v>
      </c>
      <c r="X552">
        <v>-5.8</v>
      </c>
    </row>
    <row r="553" spans="1:24" x14ac:dyDescent="0.25">
      <c r="A553" t="s">
        <v>84</v>
      </c>
      <c r="B553" t="s">
        <v>38</v>
      </c>
      <c r="C553" t="s">
        <v>35</v>
      </c>
      <c r="D553">
        <v>2008</v>
      </c>
      <c r="E553">
        <v>59561687</v>
      </c>
      <c r="F553">
        <v>2129113318512</v>
      </c>
      <c r="G553">
        <v>311.57</v>
      </c>
      <c r="H553">
        <v>351.6</v>
      </c>
      <c r="I553">
        <v>0.19</v>
      </c>
      <c r="J553">
        <v>4.8600000000000003</v>
      </c>
      <c r="K553">
        <v>58.16</v>
      </c>
      <c r="L553">
        <v>41.62</v>
      </c>
      <c r="M553">
        <v>0</v>
      </c>
      <c r="N553">
        <v>253.41</v>
      </c>
      <c r="O553">
        <v>6.0999999999999999E-2</v>
      </c>
      <c r="P553">
        <v>1.56</v>
      </c>
      <c r="Q553">
        <v>18.667000000000002</v>
      </c>
      <c r="R553">
        <v>81.332999999999998</v>
      </c>
      <c r="S553">
        <v>18.667000000000002</v>
      </c>
      <c r="T553">
        <v>485.51</v>
      </c>
      <c r="U553">
        <v>2.27</v>
      </c>
      <c r="V553">
        <v>375</v>
      </c>
      <c r="W553">
        <v>20.6</v>
      </c>
      <c r="X553">
        <v>21.9</v>
      </c>
    </row>
    <row r="554" spans="1:24" x14ac:dyDescent="0.25">
      <c r="A554" t="s">
        <v>84</v>
      </c>
      <c r="B554" t="s">
        <v>38</v>
      </c>
      <c r="C554" t="s">
        <v>35</v>
      </c>
      <c r="D554">
        <v>2009</v>
      </c>
      <c r="E554">
        <v>59904016</v>
      </c>
      <c r="F554">
        <v>2029023036275</v>
      </c>
      <c r="G554">
        <v>286.36</v>
      </c>
      <c r="H554">
        <v>331.32</v>
      </c>
      <c r="I554">
        <v>0.68</v>
      </c>
      <c r="J554">
        <v>6.54</v>
      </c>
      <c r="K554">
        <v>69.260000000000005</v>
      </c>
      <c r="L554">
        <v>49.14</v>
      </c>
      <c r="M554">
        <v>0</v>
      </c>
      <c r="N554">
        <v>217.1</v>
      </c>
      <c r="O554">
        <v>0.23699999999999999</v>
      </c>
      <c r="P554">
        <v>2.2839999999999998</v>
      </c>
      <c r="Q554">
        <v>24.186</v>
      </c>
      <c r="R554">
        <v>75.813999999999993</v>
      </c>
      <c r="S554">
        <v>24.186</v>
      </c>
      <c r="T554">
        <v>458.58</v>
      </c>
      <c r="U554">
        <v>3.25</v>
      </c>
      <c r="V554">
        <v>257.89999999999998</v>
      </c>
      <c r="W554">
        <v>34.6</v>
      </c>
      <c r="X554">
        <v>19.100000000000001</v>
      </c>
    </row>
    <row r="555" spans="1:24" x14ac:dyDescent="0.25">
      <c r="A555" t="s">
        <v>84</v>
      </c>
      <c r="B555" t="s">
        <v>38</v>
      </c>
      <c r="C555" t="s">
        <v>35</v>
      </c>
      <c r="D555">
        <v>2010</v>
      </c>
      <c r="E555">
        <v>60164212</v>
      </c>
      <c r="F555">
        <v>2080545936781</v>
      </c>
      <c r="G555">
        <v>296.63</v>
      </c>
      <c r="H555">
        <v>340.79</v>
      </c>
      <c r="I555">
        <v>1.91</v>
      </c>
      <c r="J555">
        <v>9.1199999999999992</v>
      </c>
      <c r="K555">
        <v>76.97</v>
      </c>
      <c r="L555">
        <v>51.12</v>
      </c>
      <c r="M555">
        <v>0</v>
      </c>
      <c r="N555">
        <v>219.66</v>
      </c>
      <c r="O555">
        <v>0.64400000000000002</v>
      </c>
      <c r="P555">
        <v>3.0750000000000002</v>
      </c>
      <c r="Q555">
        <v>25.948</v>
      </c>
      <c r="R555">
        <v>74.052000000000007</v>
      </c>
      <c r="S555">
        <v>25.948</v>
      </c>
      <c r="T555">
        <v>446.45</v>
      </c>
      <c r="U555">
        <v>4.96</v>
      </c>
      <c r="V555">
        <v>180.9</v>
      </c>
      <c r="W555">
        <v>39.4</v>
      </c>
      <c r="X555">
        <v>11.1</v>
      </c>
    </row>
    <row r="556" spans="1:24" x14ac:dyDescent="0.25">
      <c r="A556" t="s">
        <v>84</v>
      </c>
      <c r="B556" t="s">
        <v>38</v>
      </c>
      <c r="C556" t="s">
        <v>35</v>
      </c>
      <c r="D556">
        <v>2011</v>
      </c>
      <c r="E556">
        <v>60367882</v>
      </c>
      <c r="F556">
        <v>2110883320816</v>
      </c>
      <c r="G556">
        <v>298.37</v>
      </c>
      <c r="H556">
        <v>344.1</v>
      </c>
      <c r="I556">
        <v>10.8</v>
      </c>
      <c r="J556">
        <v>9.85</v>
      </c>
      <c r="K556">
        <v>82.95</v>
      </c>
      <c r="L556">
        <v>45.82</v>
      </c>
      <c r="M556">
        <v>0</v>
      </c>
      <c r="N556">
        <v>215.42</v>
      </c>
      <c r="O556">
        <v>3.62</v>
      </c>
      <c r="P556">
        <v>3.3010000000000002</v>
      </c>
      <c r="Q556">
        <v>27.800999999999998</v>
      </c>
      <c r="R556">
        <v>72.198999999999998</v>
      </c>
      <c r="S556">
        <v>27.800999999999998</v>
      </c>
      <c r="T556">
        <v>445.59</v>
      </c>
      <c r="U556">
        <v>9.2899999999999991</v>
      </c>
      <c r="V556">
        <v>465.4</v>
      </c>
      <c r="W556">
        <v>8</v>
      </c>
      <c r="X556">
        <v>7.8</v>
      </c>
    </row>
    <row r="557" spans="1:24" x14ac:dyDescent="0.25">
      <c r="A557" t="s">
        <v>84</v>
      </c>
      <c r="B557" t="s">
        <v>38</v>
      </c>
      <c r="C557" t="s">
        <v>35</v>
      </c>
      <c r="D557">
        <v>2012</v>
      </c>
      <c r="E557">
        <v>60531522</v>
      </c>
      <c r="F557">
        <v>2047959835066</v>
      </c>
      <c r="G557">
        <v>295.25</v>
      </c>
      <c r="H557">
        <v>338.35</v>
      </c>
      <c r="I557">
        <v>18.86</v>
      </c>
      <c r="J557">
        <v>13.41</v>
      </c>
      <c r="K557">
        <v>92.22</v>
      </c>
      <c r="L557">
        <v>41.87</v>
      </c>
      <c r="M557">
        <v>0</v>
      </c>
      <c r="N557">
        <v>203.03</v>
      </c>
      <c r="O557">
        <v>6.3879999999999999</v>
      </c>
      <c r="P557">
        <v>4.5419999999999998</v>
      </c>
      <c r="Q557">
        <v>31.234999999999999</v>
      </c>
      <c r="R557">
        <v>68.765000000000001</v>
      </c>
      <c r="S557">
        <v>31.234999999999999</v>
      </c>
      <c r="T557">
        <v>438.17</v>
      </c>
      <c r="U557">
        <v>14.52</v>
      </c>
      <c r="V557">
        <v>74.599999999999994</v>
      </c>
      <c r="W557">
        <v>36.1</v>
      </c>
      <c r="X557">
        <v>11.2</v>
      </c>
    </row>
    <row r="558" spans="1:24" x14ac:dyDescent="0.25">
      <c r="A558" t="s">
        <v>84</v>
      </c>
      <c r="B558" t="s">
        <v>38</v>
      </c>
      <c r="C558" t="s">
        <v>35</v>
      </c>
      <c r="D558">
        <v>2013</v>
      </c>
      <c r="E558">
        <v>60653864</v>
      </c>
      <c r="F558">
        <v>2010255414011</v>
      </c>
      <c r="G558">
        <v>286.02</v>
      </c>
      <c r="H558">
        <v>328.16</v>
      </c>
      <c r="I558">
        <v>21.59</v>
      </c>
      <c r="J558">
        <v>14.9</v>
      </c>
      <c r="K558">
        <v>112</v>
      </c>
      <c r="L558">
        <v>52.77</v>
      </c>
      <c r="M558">
        <v>0</v>
      </c>
      <c r="N558">
        <v>174.02</v>
      </c>
      <c r="O558">
        <v>7.548</v>
      </c>
      <c r="P558">
        <v>5.2089999999999996</v>
      </c>
      <c r="Q558">
        <v>39.158000000000001</v>
      </c>
      <c r="R558">
        <v>60.841999999999999</v>
      </c>
      <c r="S558">
        <v>39.158000000000001</v>
      </c>
      <c r="T558">
        <v>398.96</v>
      </c>
      <c r="U558">
        <v>16.420000000000002</v>
      </c>
      <c r="V558">
        <v>14.5</v>
      </c>
      <c r="W558">
        <v>11.1</v>
      </c>
      <c r="X558">
        <v>21.4</v>
      </c>
    </row>
    <row r="559" spans="1:24" x14ac:dyDescent="0.25">
      <c r="A559" t="s">
        <v>84</v>
      </c>
      <c r="B559" t="s">
        <v>38</v>
      </c>
      <c r="C559" t="s">
        <v>35</v>
      </c>
      <c r="D559">
        <v>2014</v>
      </c>
      <c r="E559">
        <v>60664169</v>
      </c>
      <c r="F559">
        <v>2010164047423</v>
      </c>
      <c r="G559">
        <v>276.52999999999997</v>
      </c>
      <c r="H559">
        <v>320.25</v>
      </c>
      <c r="I559">
        <v>22.31</v>
      </c>
      <c r="J559">
        <v>15.18</v>
      </c>
      <c r="K559">
        <v>120.68</v>
      </c>
      <c r="L559">
        <v>58.55</v>
      </c>
      <c r="M559">
        <v>0</v>
      </c>
      <c r="N559">
        <v>155.85</v>
      </c>
      <c r="O559">
        <v>8.0679999999999996</v>
      </c>
      <c r="P559">
        <v>5.4889999999999999</v>
      </c>
      <c r="Q559">
        <v>43.640999999999998</v>
      </c>
      <c r="R559">
        <v>56.359000000000002</v>
      </c>
      <c r="S559">
        <v>43.640999999999998</v>
      </c>
      <c r="T559">
        <v>379.31</v>
      </c>
      <c r="U559">
        <v>16.87</v>
      </c>
      <c r="V559">
        <v>3.3</v>
      </c>
      <c r="W559">
        <v>1.9</v>
      </c>
      <c r="X559">
        <v>7.8</v>
      </c>
    </row>
    <row r="560" spans="1:24" x14ac:dyDescent="0.25">
      <c r="A560" t="s">
        <v>84</v>
      </c>
      <c r="B560" t="s">
        <v>38</v>
      </c>
      <c r="C560" t="s">
        <v>35</v>
      </c>
      <c r="D560">
        <v>2015</v>
      </c>
      <c r="E560">
        <v>60575314</v>
      </c>
      <c r="F560">
        <v>2025809415322</v>
      </c>
      <c r="G560">
        <v>279.7</v>
      </c>
      <c r="H560">
        <v>326.08</v>
      </c>
      <c r="I560">
        <v>22.94</v>
      </c>
      <c r="J560">
        <v>14.84</v>
      </c>
      <c r="K560">
        <v>108.89</v>
      </c>
      <c r="L560">
        <v>45.54</v>
      </c>
      <c r="M560">
        <v>0</v>
      </c>
      <c r="N560">
        <v>170.81</v>
      </c>
      <c r="O560">
        <v>8.202</v>
      </c>
      <c r="P560">
        <v>5.306</v>
      </c>
      <c r="Q560">
        <v>38.930999999999997</v>
      </c>
      <c r="R560">
        <v>61.069000000000003</v>
      </c>
      <c r="S560">
        <v>38.930999999999997</v>
      </c>
      <c r="T560">
        <v>398.68</v>
      </c>
      <c r="U560">
        <v>17</v>
      </c>
      <c r="V560">
        <v>2.8</v>
      </c>
      <c r="W560">
        <v>-2.2000000000000002</v>
      </c>
      <c r="X560">
        <v>-9.8000000000000007</v>
      </c>
    </row>
    <row r="561" spans="1:24" x14ac:dyDescent="0.25">
      <c r="A561" t="s">
        <v>84</v>
      </c>
      <c r="B561" t="s">
        <v>38</v>
      </c>
      <c r="C561" t="s">
        <v>35</v>
      </c>
      <c r="D561">
        <v>2016</v>
      </c>
      <c r="E561">
        <v>60478103</v>
      </c>
      <c r="F561">
        <v>2052012434345</v>
      </c>
      <c r="G561">
        <v>285.95</v>
      </c>
      <c r="H561">
        <v>322.98</v>
      </c>
      <c r="I561">
        <v>22.1</v>
      </c>
      <c r="J561">
        <v>17.690000000000001</v>
      </c>
      <c r="K561">
        <v>108.01</v>
      </c>
      <c r="L561">
        <v>42.43</v>
      </c>
      <c r="M561">
        <v>0</v>
      </c>
      <c r="N561">
        <v>177.94</v>
      </c>
      <c r="O561">
        <v>7.7290000000000001</v>
      </c>
      <c r="P561">
        <v>6.1859999999999999</v>
      </c>
      <c r="Q561">
        <v>37.771999999999998</v>
      </c>
      <c r="R561">
        <v>62.228000000000002</v>
      </c>
      <c r="S561">
        <v>37.771999999999998</v>
      </c>
      <c r="T561">
        <v>389.58</v>
      </c>
      <c r="U561">
        <v>17.91</v>
      </c>
      <c r="V561">
        <v>-3.7</v>
      </c>
      <c r="W561">
        <v>19.2</v>
      </c>
      <c r="X561">
        <v>-0.8</v>
      </c>
    </row>
    <row r="562" spans="1:24" x14ac:dyDescent="0.25">
      <c r="A562" t="s">
        <v>84</v>
      </c>
      <c r="B562" t="s">
        <v>38</v>
      </c>
      <c r="C562" t="s">
        <v>35</v>
      </c>
      <c r="D562">
        <v>2017</v>
      </c>
      <c r="E562">
        <v>60390317</v>
      </c>
      <c r="F562">
        <v>2086237040647</v>
      </c>
      <c r="G562">
        <v>292.08999999999997</v>
      </c>
      <c r="H562">
        <v>329.85</v>
      </c>
      <c r="I562">
        <v>24.38</v>
      </c>
      <c r="J562">
        <v>17.739999999999998</v>
      </c>
      <c r="K562">
        <v>103.89</v>
      </c>
      <c r="L562">
        <v>36.200000000000003</v>
      </c>
      <c r="M562">
        <v>0</v>
      </c>
      <c r="N562">
        <v>188.2</v>
      </c>
      <c r="O562">
        <v>8.3469999999999995</v>
      </c>
      <c r="P562">
        <v>6.0730000000000004</v>
      </c>
      <c r="Q562">
        <v>35.567999999999998</v>
      </c>
      <c r="R562">
        <v>64.432000000000002</v>
      </c>
      <c r="S562">
        <v>35.567999999999998</v>
      </c>
      <c r="T562">
        <v>392.82</v>
      </c>
      <c r="U562">
        <v>18.95</v>
      </c>
      <c r="V562">
        <v>10.3</v>
      </c>
      <c r="W562">
        <v>0.3</v>
      </c>
      <c r="X562">
        <v>-3.8</v>
      </c>
    </row>
    <row r="563" spans="1:24" x14ac:dyDescent="0.25">
      <c r="A563" t="s">
        <v>84</v>
      </c>
      <c r="B563" t="s">
        <v>38</v>
      </c>
      <c r="C563" t="s">
        <v>35</v>
      </c>
      <c r="D563">
        <v>2018</v>
      </c>
      <c r="E563">
        <v>60277496</v>
      </c>
      <c r="F563">
        <v>2105551772855</v>
      </c>
      <c r="G563">
        <v>286.06</v>
      </c>
      <c r="H563">
        <v>329.96</v>
      </c>
      <c r="I563">
        <v>22.65</v>
      </c>
      <c r="J563">
        <v>17.72</v>
      </c>
      <c r="K563">
        <v>114.41</v>
      </c>
      <c r="L563">
        <v>48.79</v>
      </c>
      <c r="M563">
        <v>0</v>
      </c>
      <c r="N563">
        <v>171.65</v>
      </c>
      <c r="O563">
        <v>7.9180000000000001</v>
      </c>
      <c r="P563">
        <v>6.1950000000000003</v>
      </c>
      <c r="Q563">
        <v>39.994999999999997</v>
      </c>
      <c r="R563">
        <v>60.005000000000003</v>
      </c>
      <c r="S563">
        <v>39.994999999999997</v>
      </c>
      <c r="T563">
        <v>366.88</v>
      </c>
      <c r="U563">
        <v>18.170000000000002</v>
      </c>
      <c r="V563">
        <v>-7.1</v>
      </c>
      <c r="W563">
        <v>-0.1</v>
      </c>
      <c r="X563">
        <v>10.1</v>
      </c>
    </row>
    <row r="564" spans="1:24" x14ac:dyDescent="0.25">
      <c r="A564" t="s">
        <v>84</v>
      </c>
      <c r="B564" t="s">
        <v>38</v>
      </c>
      <c r="C564" t="s">
        <v>35</v>
      </c>
      <c r="D564">
        <v>2019</v>
      </c>
      <c r="E564">
        <v>60130136</v>
      </c>
      <c r="F564">
        <v>2115725732767</v>
      </c>
      <c r="G564">
        <v>289.99</v>
      </c>
      <c r="H564">
        <v>328.13</v>
      </c>
      <c r="I564">
        <v>23.69</v>
      </c>
      <c r="J564">
        <v>20.2</v>
      </c>
      <c r="K564">
        <v>115.83</v>
      </c>
      <c r="L564">
        <v>46.32</v>
      </c>
      <c r="M564">
        <v>0</v>
      </c>
      <c r="N564">
        <v>174.16</v>
      </c>
      <c r="O564">
        <v>8.1690000000000005</v>
      </c>
      <c r="P564">
        <v>6.9660000000000002</v>
      </c>
      <c r="Q564">
        <v>39.942999999999998</v>
      </c>
      <c r="R564">
        <v>60.057000000000002</v>
      </c>
      <c r="S564">
        <v>39.942999999999998</v>
      </c>
      <c r="T564">
        <v>351.32</v>
      </c>
      <c r="U564">
        <v>19.75</v>
      </c>
      <c r="V564">
        <v>4.5999999999999996</v>
      </c>
      <c r="W564">
        <v>14</v>
      </c>
      <c r="X564">
        <v>1.2</v>
      </c>
    </row>
    <row r="565" spans="1:24" x14ac:dyDescent="0.25">
      <c r="A565" t="s">
        <v>84</v>
      </c>
      <c r="B565" t="s">
        <v>38</v>
      </c>
      <c r="C565" t="s">
        <v>35</v>
      </c>
      <c r="D565">
        <v>2020</v>
      </c>
      <c r="E565">
        <v>59912763</v>
      </c>
      <c r="F565">
        <v>1925751927111</v>
      </c>
      <c r="G565">
        <v>276.81</v>
      </c>
      <c r="H565">
        <v>309.01</v>
      </c>
      <c r="I565">
        <v>24.94</v>
      </c>
      <c r="J565">
        <v>18.760000000000002</v>
      </c>
      <c r="K565">
        <v>116.9</v>
      </c>
      <c r="L565">
        <v>47.55</v>
      </c>
      <c r="M565">
        <v>0</v>
      </c>
      <c r="N565">
        <v>159.91</v>
      </c>
      <c r="O565">
        <v>9.01</v>
      </c>
      <c r="P565">
        <v>6.7770000000000001</v>
      </c>
      <c r="Q565">
        <v>42.231000000000002</v>
      </c>
      <c r="R565">
        <v>57.768999999999998</v>
      </c>
      <c r="S565">
        <v>42.231000000000002</v>
      </c>
      <c r="T565">
        <v>334.2</v>
      </c>
      <c r="U565">
        <v>19.66</v>
      </c>
      <c r="V565">
        <v>5.3</v>
      </c>
      <c r="W565">
        <v>-7.1</v>
      </c>
      <c r="X565">
        <v>0.9</v>
      </c>
    </row>
    <row r="566" spans="1:24" x14ac:dyDescent="0.25">
      <c r="A566" t="s">
        <v>84</v>
      </c>
      <c r="B566" t="s">
        <v>38</v>
      </c>
      <c r="C566" t="s">
        <v>35</v>
      </c>
      <c r="D566">
        <v>2021</v>
      </c>
      <c r="E566">
        <v>59729353</v>
      </c>
      <c r="F566">
        <v>2060299944789</v>
      </c>
      <c r="G566">
        <v>285.49</v>
      </c>
      <c r="H566">
        <v>328.28</v>
      </c>
      <c r="I566">
        <v>25.04</v>
      </c>
      <c r="J566">
        <v>20.93</v>
      </c>
      <c r="K566">
        <v>116.33</v>
      </c>
      <c r="L566">
        <v>45.39</v>
      </c>
      <c r="M566">
        <v>0</v>
      </c>
      <c r="N566">
        <v>169.16</v>
      </c>
      <c r="O566">
        <v>8.7710000000000008</v>
      </c>
      <c r="P566">
        <v>7.3310000000000004</v>
      </c>
      <c r="Q566">
        <v>40.747</v>
      </c>
      <c r="R566">
        <v>59.253</v>
      </c>
      <c r="S566">
        <v>40.747</v>
      </c>
      <c r="T566">
        <v>339.1</v>
      </c>
      <c r="U566">
        <v>20.69</v>
      </c>
      <c r="V566">
        <v>0.4</v>
      </c>
      <c r="W566">
        <v>11.6</v>
      </c>
      <c r="X566">
        <v>-0.5</v>
      </c>
    </row>
    <row r="567" spans="1:24" x14ac:dyDescent="0.25">
      <c r="A567" t="s">
        <v>84</v>
      </c>
      <c r="B567" t="s">
        <v>38</v>
      </c>
      <c r="C567" t="s">
        <v>35</v>
      </c>
      <c r="D567">
        <v>2022</v>
      </c>
      <c r="E567">
        <v>59619106</v>
      </c>
      <c r="F567">
        <v>2136009300257</v>
      </c>
      <c r="G567">
        <v>280.17</v>
      </c>
      <c r="H567">
        <v>323.16000000000003</v>
      </c>
      <c r="I567">
        <v>28.12</v>
      </c>
      <c r="J567">
        <v>20.49</v>
      </c>
      <c r="K567">
        <v>100.46</v>
      </c>
      <c r="L567">
        <v>28.4</v>
      </c>
      <c r="M567">
        <v>0</v>
      </c>
      <c r="N567">
        <v>179.71</v>
      </c>
      <c r="O567">
        <v>10.037000000000001</v>
      </c>
      <c r="P567">
        <v>7.3129999999999997</v>
      </c>
      <c r="Q567">
        <v>35.856999999999999</v>
      </c>
      <c r="R567">
        <v>64.143000000000001</v>
      </c>
      <c r="S567">
        <v>35.856999999999999</v>
      </c>
      <c r="T567">
        <v>377.84</v>
      </c>
      <c r="U567">
        <v>21.87</v>
      </c>
      <c r="V567">
        <v>12.3</v>
      </c>
      <c r="W567">
        <v>-2.1</v>
      </c>
      <c r="X567">
        <v>-13.6</v>
      </c>
    </row>
    <row r="568" spans="1:24" x14ac:dyDescent="0.25">
      <c r="A568" t="s">
        <v>84</v>
      </c>
      <c r="B568" t="s">
        <v>38</v>
      </c>
      <c r="C568" t="s">
        <v>35</v>
      </c>
      <c r="D568">
        <v>2023</v>
      </c>
      <c r="E568">
        <v>59499452</v>
      </c>
      <c r="G568">
        <v>261.55</v>
      </c>
      <c r="H568">
        <v>312.8</v>
      </c>
      <c r="I568">
        <v>30.71</v>
      </c>
      <c r="J568">
        <v>23.59</v>
      </c>
      <c r="K568">
        <v>116.52</v>
      </c>
      <c r="L568">
        <v>40.520000000000003</v>
      </c>
      <c r="M568">
        <v>0</v>
      </c>
      <c r="N568">
        <v>145.03</v>
      </c>
      <c r="O568">
        <v>11.742000000000001</v>
      </c>
      <c r="P568">
        <v>9.0190000000000001</v>
      </c>
      <c r="Q568">
        <v>44.55</v>
      </c>
      <c r="R568">
        <v>55.45</v>
      </c>
      <c r="S568">
        <v>44.55</v>
      </c>
      <c r="T568">
        <v>323.23</v>
      </c>
      <c r="U568">
        <v>24.44</v>
      </c>
      <c r="V568">
        <v>9.1999999999999993</v>
      </c>
      <c r="W568">
        <v>15.1</v>
      </c>
      <c r="X568">
        <v>16</v>
      </c>
    </row>
    <row r="569" spans="1:24" x14ac:dyDescent="0.25">
      <c r="A569" t="s">
        <v>84</v>
      </c>
      <c r="B569" t="s">
        <v>38</v>
      </c>
      <c r="C569" t="s">
        <v>35</v>
      </c>
      <c r="D569">
        <v>2024</v>
      </c>
      <c r="E569">
        <v>59342870</v>
      </c>
      <c r="G569">
        <v>267.56</v>
      </c>
      <c r="H569">
        <v>318.56</v>
      </c>
      <c r="I569">
        <v>35.99</v>
      </c>
      <c r="J569">
        <v>22.22</v>
      </c>
      <c r="K569">
        <v>134.24</v>
      </c>
      <c r="L569">
        <v>53.13</v>
      </c>
      <c r="M569">
        <v>0</v>
      </c>
      <c r="N569">
        <v>133.32</v>
      </c>
      <c r="O569">
        <v>13.451000000000001</v>
      </c>
      <c r="P569">
        <v>8.3049999999999997</v>
      </c>
      <c r="Q569">
        <v>50.171999999999997</v>
      </c>
      <c r="R569">
        <v>49.828000000000003</v>
      </c>
      <c r="S569">
        <v>50.171999999999997</v>
      </c>
      <c r="T569">
        <v>281.39999999999998</v>
      </c>
      <c r="U569">
        <v>26.19</v>
      </c>
      <c r="V569">
        <v>17.2</v>
      </c>
      <c r="W569">
        <v>-5.8</v>
      </c>
      <c r="X569">
        <v>15.2</v>
      </c>
    </row>
    <row r="570" spans="1:24" x14ac:dyDescent="0.25">
      <c r="A570" t="s">
        <v>84</v>
      </c>
      <c r="B570" t="s">
        <v>38</v>
      </c>
      <c r="C570" t="s">
        <v>35</v>
      </c>
      <c r="D570">
        <v>2025</v>
      </c>
      <c r="E570">
        <v>59146263</v>
      </c>
      <c r="G570">
        <v>264.7</v>
      </c>
      <c r="H570">
        <v>311.60000000000002</v>
      </c>
      <c r="I570">
        <v>44.63</v>
      </c>
      <c r="J570">
        <v>21.48</v>
      </c>
      <c r="K570">
        <v>129.11000000000001</v>
      </c>
      <c r="L570">
        <v>41.7</v>
      </c>
      <c r="M570">
        <v>0</v>
      </c>
      <c r="N570">
        <v>135.59</v>
      </c>
      <c r="O570">
        <v>16.861000000000001</v>
      </c>
      <c r="P570">
        <v>8.1150000000000002</v>
      </c>
      <c r="Q570">
        <v>48.776000000000003</v>
      </c>
      <c r="R570">
        <v>51.223999999999997</v>
      </c>
      <c r="S570">
        <v>48.776000000000003</v>
      </c>
      <c r="T570">
        <v>284.77999999999997</v>
      </c>
      <c r="U570">
        <v>29.75</v>
      </c>
      <c r="V570">
        <v>24</v>
      </c>
      <c r="W570">
        <v>-3.3</v>
      </c>
      <c r="X570">
        <v>-3.8</v>
      </c>
    </row>
    <row r="571" spans="1:24" x14ac:dyDescent="0.25">
      <c r="A571" t="s">
        <v>85</v>
      </c>
      <c r="B571" t="s">
        <v>41</v>
      </c>
      <c r="C571" t="s">
        <v>35</v>
      </c>
      <c r="D571">
        <v>2000</v>
      </c>
      <c r="E571">
        <v>127027794</v>
      </c>
      <c r="F571">
        <v>4209651870326</v>
      </c>
      <c r="G571">
        <v>1099.67</v>
      </c>
      <c r="H571">
        <v>1099.67</v>
      </c>
      <c r="I571">
        <v>0.34</v>
      </c>
      <c r="J571">
        <v>0.11</v>
      </c>
      <c r="K571">
        <v>101.03</v>
      </c>
      <c r="L571">
        <v>84.47</v>
      </c>
      <c r="M571">
        <v>319.12</v>
      </c>
      <c r="N571">
        <v>679.52</v>
      </c>
      <c r="O571">
        <v>3.1E-2</v>
      </c>
      <c r="P571">
        <v>0.01</v>
      </c>
      <c r="Q571">
        <v>9.1869999999999994</v>
      </c>
      <c r="R571">
        <v>61.792999999999999</v>
      </c>
      <c r="S571">
        <v>38.207000000000001</v>
      </c>
      <c r="T571">
        <v>424.43</v>
      </c>
      <c r="U571">
        <v>0.2</v>
      </c>
    </row>
    <row r="572" spans="1:24" x14ac:dyDescent="0.25">
      <c r="A572" t="s">
        <v>85</v>
      </c>
      <c r="B572" t="s">
        <v>41</v>
      </c>
      <c r="C572" t="s">
        <v>35</v>
      </c>
      <c r="D572">
        <v>2001</v>
      </c>
      <c r="E572">
        <v>127260144</v>
      </c>
      <c r="F572">
        <v>4224163277272</v>
      </c>
      <c r="G572">
        <v>1083.1400000000001</v>
      </c>
      <c r="H572">
        <v>1083.1400000000001</v>
      </c>
      <c r="I572">
        <v>0.5</v>
      </c>
      <c r="J572">
        <v>0.25</v>
      </c>
      <c r="K572">
        <v>98.32</v>
      </c>
      <c r="L572">
        <v>81.540000000000006</v>
      </c>
      <c r="M572">
        <v>320.54000000000002</v>
      </c>
      <c r="N572">
        <v>664.28</v>
      </c>
      <c r="O572">
        <v>4.5999999999999999E-2</v>
      </c>
      <c r="P572">
        <v>2.3E-2</v>
      </c>
      <c r="Q572">
        <v>9.077</v>
      </c>
      <c r="R572">
        <v>61.329000000000001</v>
      </c>
      <c r="S572">
        <v>38.670999999999999</v>
      </c>
      <c r="T572">
        <v>424.02</v>
      </c>
      <c r="U572">
        <v>0.34</v>
      </c>
      <c r="V572">
        <v>47.1</v>
      </c>
      <c r="W572">
        <v>127.3</v>
      </c>
      <c r="X572">
        <v>-2.7</v>
      </c>
    </row>
    <row r="573" spans="1:24" x14ac:dyDescent="0.25">
      <c r="A573" t="s">
        <v>85</v>
      </c>
      <c r="B573" t="s">
        <v>41</v>
      </c>
      <c r="C573" t="s">
        <v>35</v>
      </c>
      <c r="D573">
        <v>2002</v>
      </c>
      <c r="E573">
        <v>127484599</v>
      </c>
      <c r="F573">
        <v>4226576076119</v>
      </c>
      <c r="G573">
        <v>1103.07</v>
      </c>
      <c r="H573">
        <v>1103.07</v>
      </c>
      <c r="I573">
        <v>0.69</v>
      </c>
      <c r="J573">
        <v>0.41</v>
      </c>
      <c r="K573">
        <v>98.64</v>
      </c>
      <c r="L573">
        <v>80.599999999999994</v>
      </c>
      <c r="M573">
        <v>314.26</v>
      </c>
      <c r="N573">
        <v>690.17</v>
      </c>
      <c r="O573">
        <v>6.3E-2</v>
      </c>
      <c r="P573">
        <v>3.6999999999999998E-2</v>
      </c>
      <c r="Q573">
        <v>8.9420000000000002</v>
      </c>
      <c r="R573">
        <v>62.567999999999998</v>
      </c>
      <c r="S573">
        <v>37.432000000000002</v>
      </c>
      <c r="T573">
        <v>433.73</v>
      </c>
      <c r="U573">
        <v>0.49</v>
      </c>
      <c r="V573">
        <v>38</v>
      </c>
      <c r="W573">
        <v>64</v>
      </c>
      <c r="X573">
        <v>0.3</v>
      </c>
    </row>
    <row r="574" spans="1:24" x14ac:dyDescent="0.25">
      <c r="A574" t="s">
        <v>85</v>
      </c>
      <c r="B574" t="s">
        <v>41</v>
      </c>
      <c r="C574" t="s">
        <v>35</v>
      </c>
      <c r="D574">
        <v>2003</v>
      </c>
      <c r="E574">
        <v>127671254</v>
      </c>
      <c r="F574">
        <v>4288493482445</v>
      </c>
      <c r="G574">
        <v>1092.5899999999999</v>
      </c>
      <c r="H574">
        <v>1092.5899999999999</v>
      </c>
      <c r="I574">
        <v>0.95</v>
      </c>
      <c r="J574">
        <v>0.83</v>
      </c>
      <c r="K574">
        <v>112.13</v>
      </c>
      <c r="L574">
        <v>92.47</v>
      </c>
      <c r="M574">
        <v>230.08</v>
      </c>
      <c r="N574">
        <v>750.38</v>
      </c>
      <c r="O574">
        <v>8.6999999999999994E-2</v>
      </c>
      <c r="P574">
        <v>7.5999999999999998E-2</v>
      </c>
      <c r="Q574">
        <v>10.263</v>
      </c>
      <c r="R574">
        <v>68.679000000000002</v>
      </c>
      <c r="S574">
        <v>31.321000000000002</v>
      </c>
      <c r="T574">
        <v>476.32</v>
      </c>
      <c r="U574">
        <v>0.8</v>
      </c>
      <c r="V574">
        <v>37.700000000000003</v>
      </c>
      <c r="W574">
        <v>102.4</v>
      </c>
      <c r="X574">
        <v>13.7</v>
      </c>
    </row>
    <row r="575" spans="1:24" x14ac:dyDescent="0.25">
      <c r="A575" t="s">
        <v>85</v>
      </c>
      <c r="B575" t="s">
        <v>41</v>
      </c>
      <c r="C575" t="s">
        <v>35</v>
      </c>
      <c r="D575">
        <v>2004</v>
      </c>
      <c r="E575">
        <v>127815769</v>
      </c>
      <c r="F575">
        <v>4380398118363</v>
      </c>
      <c r="G575">
        <v>1121.19</v>
      </c>
      <c r="H575">
        <v>1121.19</v>
      </c>
      <c r="I575">
        <v>1.27</v>
      </c>
      <c r="J575">
        <v>1.44</v>
      </c>
      <c r="K575">
        <v>112.43</v>
      </c>
      <c r="L575">
        <v>91.67</v>
      </c>
      <c r="M575">
        <v>285.87</v>
      </c>
      <c r="N575">
        <v>722.89</v>
      </c>
      <c r="O575">
        <v>0.113</v>
      </c>
      <c r="P575">
        <v>0.128</v>
      </c>
      <c r="Q575">
        <v>10.028</v>
      </c>
      <c r="R575">
        <v>64.474999999999994</v>
      </c>
      <c r="S575">
        <v>35.524999999999999</v>
      </c>
      <c r="T575">
        <v>450.26</v>
      </c>
      <c r="U575">
        <v>1.22</v>
      </c>
      <c r="V575">
        <v>33.700000000000003</v>
      </c>
      <c r="W575">
        <v>73.5</v>
      </c>
      <c r="X575">
        <v>0.3</v>
      </c>
    </row>
    <row r="576" spans="1:24" x14ac:dyDescent="0.25">
      <c r="A576" t="s">
        <v>85</v>
      </c>
      <c r="B576" t="s">
        <v>41</v>
      </c>
      <c r="C576" t="s">
        <v>35</v>
      </c>
      <c r="D576">
        <v>2005</v>
      </c>
      <c r="E576">
        <v>127913331</v>
      </c>
      <c r="F576">
        <v>4450600710060</v>
      </c>
      <c r="G576">
        <v>1153.07</v>
      </c>
      <c r="H576">
        <v>1153.07</v>
      </c>
      <c r="I576">
        <v>1.63</v>
      </c>
      <c r="J576">
        <v>1.91</v>
      </c>
      <c r="K576">
        <v>102.79</v>
      </c>
      <c r="L576">
        <v>77.56</v>
      </c>
      <c r="M576">
        <v>293.04000000000002</v>
      </c>
      <c r="N576">
        <v>757.24</v>
      </c>
      <c r="O576">
        <v>0.14099999999999999</v>
      </c>
      <c r="P576">
        <v>0.16600000000000001</v>
      </c>
      <c r="Q576">
        <v>8.9139999999999997</v>
      </c>
      <c r="R576">
        <v>65.671999999999997</v>
      </c>
      <c r="S576">
        <v>34.328000000000003</v>
      </c>
      <c r="T576">
        <v>461.8</v>
      </c>
      <c r="U576">
        <v>1.59</v>
      </c>
      <c r="V576">
        <v>28.3</v>
      </c>
      <c r="W576">
        <v>32.6</v>
      </c>
      <c r="X576">
        <v>-8.6</v>
      </c>
    </row>
    <row r="577" spans="1:25" x14ac:dyDescent="0.25">
      <c r="A577" t="s">
        <v>85</v>
      </c>
      <c r="B577" t="s">
        <v>41</v>
      </c>
      <c r="C577" t="s">
        <v>35</v>
      </c>
      <c r="D577">
        <v>2006</v>
      </c>
      <c r="E577">
        <v>127997247</v>
      </c>
      <c r="F577">
        <v>4514225078439</v>
      </c>
      <c r="G577">
        <v>1164.3499999999999</v>
      </c>
      <c r="H577">
        <v>1164.3499999999999</v>
      </c>
      <c r="I577">
        <v>2</v>
      </c>
      <c r="J577">
        <v>2.13</v>
      </c>
      <c r="K577">
        <v>114.47</v>
      </c>
      <c r="L577">
        <v>88.81</v>
      </c>
      <c r="M577">
        <v>304.29000000000002</v>
      </c>
      <c r="N577">
        <v>745.59</v>
      </c>
      <c r="O577">
        <v>0.17199999999999999</v>
      </c>
      <c r="P577">
        <v>0.183</v>
      </c>
      <c r="Q577">
        <v>9.8309999999999995</v>
      </c>
      <c r="R577">
        <v>64.034999999999997</v>
      </c>
      <c r="S577">
        <v>35.965000000000003</v>
      </c>
      <c r="T577">
        <v>447.25</v>
      </c>
      <c r="U577">
        <v>1.86</v>
      </c>
      <c r="V577">
        <v>22.7</v>
      </c>
      <c r="W577">
        <v>11.5</v>
      </c>
      <c r="X577">
        <v>11.4</v>
      </c>
    </row>
    <row r="578" spans="1:25" x14ac:dyDescent="0.25">
      <c r="A578" t="s">
        <v>85</v>
      </c>
      <c r="B578" t="s">
        <v>41</v>
      </c>
      <c r="C578" t="s">
        <v>35</v>
      </c>
      <c r="D578">
        <v>2007</v>
      </c>
      <c r="E578">
        <v>128087683</v>
      </c>
      <c r="F578">
        <v>4590814009043</v>
      </c>
      <c r="G578">
        <v>1180.1099999999999</v>
      </c>
      <c r="H578">
        <v>1180.1099999999999</v>
      </c>
      <c r="I578">
        <v>2.31</v>
      </c>
      <c r="J578">
        <v>2.74</v>
      </c>
      <c r="K578">
        <v>101.76</v>
      </c>
      <c r="L578">
        <v>74.510000000000005</v>
      </c>
      <c r="M578">
        <v>279.01</v>
      </c>
      <c r="N578">
        <v>799.34</v>
      </c>
      <c r="O578">
        <v>0.19600000000000001</v>
      </c>
      <c r="P578">
        <v>0.23200000000000001</v>
      </c>
      <c r="Q578">
        <v>8.6229999999999993</v>
      </c>
      <c r="R578">
        <v>67.733999999999995</v>
      </c>
      <c r="S578">
        <v>32.265999999999998</v>
      </c>
      <c r="T578">
        <v>470.19</v>
      </c>
      <c r="U578">
        <v>2.27</v>
      </c>
      <c r="V578">
        <v>15.5</v>
      </c>
      <c r="W578">
        <v>28.6</v>
      </c>
      <c r="X578">
        <v>-11.1</v>
      </c>
    </row>
    <row r="579" spans="1:25" x14ac:dyDescent="0.25">
      <c r="A579" t="s">
        <v>85</v>
      </c>
      <c r="B579" t="s">
        <v>41</v>
      </c>
      <c r="C579" t="s">
        <v>35</v>
      </c>
      <c r="D579">
        <v>2008</v>
      </c>
      <c r="E579">
        <v>128155992</v>
      </c>
      <c r="F579">
        <v>4542408020234</v>
      </c>
      <c r="G579">
        <v>1183.7</v>
      </c>
      <c r="H579">
        <v>1183.7</v>
      </c>
      <c r="I579">
        <v>2.59</v>
      </c>
      <c r="J579">
        <v>2.94</v>
      </c>
      <c r="K579">
        <v>101.98</v>
      </c>
      <c r="L579">
        <v>75.16</v>
      </c>
      <c r="M579">
        <v>251.74</v>
      </c>
      <c r="N579">
        <v>829.98</v>
      </c>
      <c r="O579">
        <v>0.219</v>
      </c>
      <c r="P579">
        <v>0.248</v>
      </c>
      <c r="Q579">
        <v>8.6150000000000002</v>
      </c>
      <c r="R579">
        <v>70.117000000000004</v>
      </c>
      <c r="S579">
        <v>29.882999999999999</v>
      </c>
      <c r="T579">
        <v>485.22</v>
      </c>
      <c r="U579">
        <v>2.4900000000000002</v>
      </c>
      <c r="V579">
        <v>12.1</v>
      </c>
      <c r="W579">
        <v>7.3</v>
      </c>
      <c r="X579">
        <v>0.2</v>
      </c>
    </row>
    <row r="580" spans="1:25" x14ac:dyDescent="0.25">
      <c r="A580" t="s">
        <v>85</v>
      </c>
      <c r="B580" t="s">
        <v>41</v>
      </c>
      <c r="C580" t="s">
        <v>35</v>
      </c>
      <c r="D580">
        <v>2009</v>
      </c>
      <c r="E580">
        <v>128192471</v>
      </c>
      <c r="F580">
        <v>4298103109270</v>
      </c>
      <c r="G580">
        <v>1114.02</v>
      </c>
      <c r="H580">
        <v>1114.02</v>
      </c>
      <c r="I580">
        <v>3.05</v>
      </c>
      <c r="J580">
        <v>3.43</v>
      </c>
      <c r="K580">
        <v>97.28</v>
      </c>
      <c r="L580">
        <v>70.47</v>
      </c>
      <c r="M580">
        <v>274.64999999999998</v>
      </c>
      <c r="N580">
        <v>742.09</v>
      </c>
      <c r="O580">
        <v>0.27400000000000002</v>
      </c>
      <c r="P580">
        <v>0.308</v>
      </c>
      <c r="Q580">
        <v>8.7319999999999993</v>
      </c>
      <c r="R580">
        <v>66.614000000000004</v>
      </c>
      <c r="S580">
        <v>33.386000000000003</v>
      </c>
      <c r="T580">
        <v>460.21</v>
      </c>
      <c r="U580">
        <v>2.92</v>
      </c>
      <c r="V580">
        <v>17.8</v>
      </c>
      <c r="W580">
        <v>16.7</v>
      </c>
      <c r="X580">
        <v>-4.5999999999999996</v>
      </c>
    </row>
    <row r="581" spans="1:25" x14ac:dyDescent="0.25">
      <c r="A581" t="s">
        <v>85</v>
      </c>
      <c r="B581" t="s">
        <v>41</v>
      </c>
      <c r="C581" t="s">
        <v>35</v>
      </c>
      <c r="D581">
        <v>2010</v>
      </c>
      <c r="E581">
        <v>128185273</v>
      </c>
      <c r="F581">
        <v>4480295644398</v>
      </c>
      <c r="G581">
        <v>1156.04</v>
      </c>
      <c r="H581">
        <v>1156.04</v>
      </c>
      <c r="I581">
        <v>3.98</v>
      </c>
      <c r="J581">
        <v>3.93</v>
      </c>
      <c r="K581">
        <v>118.24</v>
      </c>
      <c r="L581">
        <v>88.5</v>
      </c>
      <c r="M581">
        <v>292.36</v>
      </c>
      <c r="N581">
        <v>745.44</v>
      </c>
      <c r="O581">
        <v>0.34399999999999997</v>
      </c>
      <c r="P581">
        <v>0.34</v>
      </c>
      <c r="Q581">
        <v>10.228</v>
      </c>
      <c r="R581">
        <v>64.481999999999999</v>
      </c>
      <c r="S581">
        <v>35.518000000000001</v>
      </c>
      <c r="T581">
        <v>446.66</v>
      </c>
      <c r="U581">
        <v>3.56</v>
      </c>
      <c r="V581">
        <v>30.5</v>
      </c>
      <c r="W581">
        <v>14.6</v>
      </c>
      <c r="X581">
        <v>21.5</v>
      </c>
    </row>
    <row r="582" spans="1:25" x14ac:dyDescent="0.25">
      <c r="A582" t="s">
        <v>85</v>
      </c>
      <c r="B582" t="s">
        <v>41</v>
      </c>
      <c r="C582" t="s">
        <v>35</v>
      </c>
      <c r="D582">
        <v>2011</v>
      </c>
      <c r="E582">
        <v>128096430</v>
      </c>
      <c r="F582">
        <v>4468738319171</v>
      </c>
      <c r="G582">
        <v>1104.2</v>
      </c>
      <c r="H582">
        <v>1104.2</v>
      </c>
      <c r="I582">
        <v>5.44</v>
      </c>
      <c r="J582">
        <v>4.46</v>
      </c>
      <c r="K582">
        <v>113.5</v>
      </c>
      <c r="L582">
        <v>82.49</v>
      </c>
      <c r="M582">
        <v>162.93</v>
      </c>
      <c r="N582">
        <v>827.77</v>
      </c>
      <c r="O582">
        <v>0.49299999999999999</v>
      </c>
      <c r="P582">
        <v>0.40400000000000003</v>
      </c>
      <c r="Q582">
        <v>10.279</v>
      </c>
      <c r="R582">
        <v>74.965999999999994</v>
      </c>
      <c r="S582">
        <v>25.033999999999999</v>
      </c>
      <c r="T582">
        <v>505.34</v>
      </c>
      <c r="U582">
        <v>4.46</v>
      </c>
      <c r="V582">
        <v>36.700000000000003</v>
      </c>
      <c r="W582">
        <v>13.5</v>
      </c>
      <c r="X582">
        <v>-4</v>
      </c>
    </row>
    <row r="583" spans="1:25" x14ac:dyDescent="0.25">
      <c r="A583" t="s">
        <v>85</v>
      </c>
      <c r="B583" t="s">
        <v>41</v>
      </c>
      <c r="C583" t="s">
        <v>35</v>
      </c>
      <c r="D583">
        <v>2012</v>
      </c>
      <c r="E583">
        <v>127928283</v>
      </c>
      <c r="F583">
        <v>4530172048567</v>
      </c>
      <c r="G583">
        <v>1106.8800000000001</v>
      </c>
      <c r="H583">
        <v>1106.8800000000001</v>
      </c>
      <c r="I583">
        <v>7.37</v>
      </c>
      <c r="J583">
        <v>4.7300000000000004</v>
      </c>
      <c r="K583">
        <v>111.33</v>
      </c>
      <c r="L583">
        <v>77.099999999999994</v>
      </c>
      <c r="M583">
        <v>17.989999999999998</v>
      </c>
      <c r="N583">
        <v>977.56</v>
      </c>
      <c r="O583">
        <v>0.66600000000000004</v>
      </c>
      <c r="P583">
        <v>0.42699999999999999</v>
      </c>
      <c r="Q583">
        <v>10.058</v>
      </c>
      <c r="R583">
        <v>88.316999999999993</v>
      </c>
      <c r="S583">
        <v>11.683</v>
      </c>
      <c r="T583">
        <v>594.53</v>
      </c>
      <c r="U583">
        <v>5.45</v>
      </c>
      <c r="V583">
        <v>35.5</v>
      </c>
      <c r="W583">
        <v>6.1</v>
      </c>
      <c r="X583">
        <v>-1.9</v>
      </c>
    </row>
    <row r="584" spans="1:25" x14ac:dyDescent="0.25">
      <c r="A584" t="s">
        <v>85</v>
      </c>
      <c r="B584" t="s">
        <v>41</v>
      </c>
      <c r="C584" t="s">
        <v>35</v>
      </c>
      <c r="D584">
        <v>2013</v>
      </c>
      <c r="E584">
        <v>127723642</v>
      </c>
      <c r="F584">
        <v>4621006950566</v>
      </c>
      <c r="G584">
        <v>1087.76</v>
      </c>
      <c r="H584">
        <v>1087.76</v>
      </c>
      <c r="I584">
        <v>12.91</v>
      </c>
      <c r="J584">
        <v>5.13</v>
      </c>
      <c r="K584">
        <v>120.55</v>
      </c>
      <c r="L584">
        <v>79.33</v>
      </c>
      <c r="M584">
        <v>14.6</v>
      </c>
      <c r="N584">
        <v>952.61</v>
      </c>
      <c r="O584">
        <v>1.1870000000000001</v>
      </c>
      <c r="P584">
        <v>0.47199999999999998</v>
      </c>
      <c r="Q584">
        <v>11.082000000000001</v>
      </c>
      <c r="R584">
        <v>87.575000000000003</v>
      </c>
      <c r="S584">
        <v>12.425000000000001</v>
      </c>
      <c r="T584">
        <v>595.9</v>
      </c>
      <c r="U584">
        <v>8.1199999999999992</v>
      </c>
      <c r="V584">
        <v>75.2</v>
      </c>
      <c r="W584">
        <v>8.5</v>
      </c>
      <c r="X584">
        <v>8.3000000000000007</v>
      </c>
    </row>
    <row r="585" spans="1:25" x14ac:dyDescent="0.25">
      <c r="A585" t="s">
        <v>85</v>
      </c>
      <c r="B585" t="s">
        <v>41</v>
      </c>
      <c r="C585" t="s">
        <v>35</v>
      </c>
      <c r="D585">
        <v>2014</v>
      </c>
      <c r="E585">
        <v>127486601</v>
      </c>
      <c r="F585">
        <v>4634693421103</v>
      </c>
      <c r="G585">
        <v>1062.72</v>
      </c>
      <c r="H585">
        <v>1062.72</v>
      </c>
      <c r="I585">
        <v>23.55</v>
      </c>
      <c r="J585">
        <v>5.01</v>
      </c>
      <c r="K585">
        <v>133.9</v>
      </c>
      <c r="L585">
        <v>81.709999999999994</v>
      </c>
      <c r="M585">
        <v>0</v>
      </c>
      <c r="N585">
        <v>928.82</v>
      </c>
      <c r="O585">
        <v>2.2160000000000002</v>
      </c>
      <c r="P585">
        <v>0.47099999999999997</v>
      </c>
      <c r="Q585">
        <v>12.6</v>
      </c>
      <c r="R585">
        <v>87.4</v>
      </c>
      <c r="S585">
        <v>12.6</v>
      </c>
      <c r="T585">
        <v>591.53</v>
      </c>
      <c r="U585">
        <v>12.85</v>
      </c>
      <c r="V585">
        <v>82.4</v>
      </c>
      <c r="W585">
        <v>-2.2999999999999998</v>
      </c>
      <c r="X585">
        <v>11.1</v>
      </c>
    </row>
    <row r="586" spans="1:25" x14ac:dyDescent="0.25">
      <c r="A586" t="s">
        <v>85</v>
      </c>
      <c r="B586" t="s">
        <v>41</v>
      </c>
      <c r="C586" t="s">
        <v>35</v>
      </c>
      <c r="D586">
        <v>2015</v>
      </c>
      <c r="E586">
        <v>127275868</v>
      </c>
      <c r="F586">
        <v>4707025000790</v>
      </c>
      <c r="G586">
        <v>1030.1199999999999</v>
      </c>
      <c r="H586">
        <v>1030.1199999999999</v>
      </c>
      <c r="I586">
        <v>34.54</v>
      </c>
      <c r="J586">
        <v>5.22</v>
      </c>
      <c r="K586">
        <v>154.02000000000001</v>
      </c>
      <c r="L586">
        <v>85.77</v>
      </c>
      <c r="M586">
        <v>4.5199999999999996</v>
      </c>
      <c r="N586">
        <v>871.58</v>
      </c>
      <c r="O586">
        <v>3.3530000000000002</v>
      </c>
      <c r="P586">
        <v>0.50700000000000001</v>
      </c>
      <c r="Q586">
        <v>14.952</v>
      </c>
      <c r="R586">
        <v>84.61</v>
      </c>
      <c r="S586">
        <v>15.39</v>
      </c>
      <c r="T586">
        <v>578.04999999999995</v>
      </c>
      <c r="U586">
        <v>17.89</v>
      </c>
      <c r="V586">
        <v>46.7</v>
      </c>
      <c r="W586">
        <v>4.2</v>
      </c>
      <c r="X586">
        <v>15</v>
      </c>
    </row>
    <row r="587" spans="1:25" x14ac:dyDescent="0.25">
      <c r="A587" t="s">
        <v>85</v>
      </c>
      <c r="B587" t="s">
        <v>41</v>
      </c>
      <c r="C587" t="s">
        <v>35</v>
      </c>
      <c r="D587">
        <v>2016</v>
      </c>
      <c r="E587">
        <v>127159950</v>
      </c>
      <c r="F587">
        <v>4742508721138</v>
      </c>
      <c r="G587">
        <v>1063.7</v>
      </c>
      <c r="H587">
        <v>1063.7</v>
      </c>
      <c r="I587">
        <v>43.33</v>
      </c>
      <c r="J587">
        <v>5.34</v>
      </c>
      <c r="K587">
        <v>151.77000000000001</v>
      </c>
      <c r="L587">
        <v>79.430000000000007</v>
      </c>
      <c r="M587">
        <v>17.68</v>
      </c>
      <c r="N587">
        <v>894.25</v>
      </c>
      <c r="O587">
        <v>4.0739999999999998</v>
      </c>
      <c r="P587">
        <v>0.502</v>
      </c>
      <c r="Q587">
        <v>14.268000000000001</v>
      </c>
      <c r="R587">
        <v>84.07</v>
      </c>
      <c r="S587">
        <v>15.93</v>
      </c>
      <c r="T587">
        <v>567.04</v>
      </c>
      <c r="U587">
        <v>21.9</v>
      </c>
      <c r="V587">
        <v>25.4</v>
      </c>
      <c r="W587">
        <v>2.2999999999999998</v>
      </c>
      <c r="X587">
        <v>-1.5</v>
      </c>
    </row>
    <row r="588" spans="1:25" x14ac:dyDescent="0.25">
      <c r="A588" t="s">
        <v>85</v>
      </c>
      <c r="B588" t="s">
        <v>41</v>
      </c>
      <c r="C588" t="s">
        <v>35</v>
      </c>
      <c r="D588">
        <v>2017</v>
      </c>
      <c r="E588">
        <v>127064686</v>
      </c>
      <c r="F588">
        <v>4821960242931</v>
      </c>
      <c r="G588">
        <v>1076.8599999999999</v>
      </c>
      <c r="H588">
        <v>1076.8599999999999</v>
      </c>
      <c r="I588">
        <v>54.04</v>
      </c>
      <c r="J588">
        <v>6.22</v>
      </c>
      <c r="K588">
        <v>163.30000000000001</v>
      </c>
      <c r="L588">
        <v>79.239999999999995</v>
      </c>
      <c r="M588">
        <v>29.07</v>
      </c>
      <c r="N588">
        <v>884.49</v>
      </c>
      <c r="O588">
        <v>5.0179999999999998</v>
      </c>
      <c r="P588">
        <v>0.57799999999999996</v>
      </c>
      <c r="Q588">
        <v>15.164</v>
      </c>
      <c r="R588">
        <v>82.135999999999996</v>
      </c>
      <c r="S588">
        <v>17.864000000000001</v>
      </c>
      <c r="T588">
        <v>558.03</v>
      </c>
      <c r="U588">
        <v>27.12</v>
      </c>
      <c r="V588">
        <v>24.7</v>
      </c>
      <c r="W588">
        <v>16.5</v>
      </c>
      <c r="X588">
        <v>7.6</v>
      </c>
    </row>
    <row r="589" spans="1:25" x14ac:dyDescent="0.25">
      <c r="A589" t="s">
        <v>85</v>
      </c>
      <c r="B589" t="s">
        <v>41</v>
      </c>
      <c r="C589" t="s">
        <v>35</v>
      </c>
      <c r="D589">
        <v>2018</v>
      </c>
      <c r="E589">
        <v>126913432</v>
      </c>
      <c r="F589">
        <v>4852985093686</v>
      </c>
      <c r="G589">
        <v>1082.93</v>
      </c>
      <c r="H589">
        <v>1082.93</v>
      </c>
      <c r="I589">
        <v>61.22</v>
      </c>
      <c r="J589">
        <v>7.37</v>
      </c>
      <c r="K589">
        <v>175.34</v>
      </c>
      <c r="L589">
        <v>81</v>
      </c>
      <c r="M589">
        <v>49.11</v>
      </c>
      <c r="N589">
        <v>858.48</v>
      </c>
      <c r="O589">
        <v>5.6529999999999996</v>
      </c>
      <c r="P589">
        <v>0.68100000000000005</v>
      </c>
      <c r="Q589">
        <v>16.190999999999999</v>
      </c>
      <c r="R589">
        <v>79.274000000000001</v>
      </c>
      <c r="S589">
        <v>20.725999999999999</v>
      </c>
      <c r="T589">
        <v>541.47</v>
      </c>
      <c r="U589">
        <v>30.87</v>
      </c>
      <c r="V589">
        <v>13.3</v>
      </c>
      <c r="W589">
        <v>18.5</v>
      </c>
      <c r="X589">
        <v>7.4</v>
      </c>
    </row>
    <row r="590" spans="1:25" x14ac:dyDescent="0.25">
      <c r="A590" t="s">
        <v>85</v>
      </c>
      <c r="B590" t="s">
        <v>41</v>
      </c>
      <c r="C590" t="s">
        <v>35</v>
      </c>
      <c r="D590">
        <v>2019</v>
      </c>
      <c r="E590">
        <v>126699421</v>
      </c>
      <c r="F590">
        <v>4833467877373</v>
      </c>
      <c r="G590">
        <v>1047.4000000000001</v>
      </c>
      <c r="H590">
        <v>1047.4000000000001</v>
      </c>
      <c r="I590">
        <v>67.430000000000007</v>
      </c>
      <c r="J590">
        <v>7.46</v>
      </c>
      <c r="K590">
        <v>176.41</v>
      </c>
      <c r="L590">
        <v>73.92</v>
      </c>
      <c r="M590">
        <v>65.64</v>
      </c>
      <c r="N590">
        <v>805.35</v>
      </c>
      <c r="O590">
        <v>6.4379999999999997</v>
      </c>
      <c r="P590">
        <v>0.71199999999999997</v>
      </c>
      <c r="Q590">
        <v>16.843</v>
      </c>
      <c r="R590">
        <v>76.89</v>
      </c>
      <c r="S590">
        <v>23.11</v>
      </c>
      <c r="T590">
        <v>528.49</v>
      </c>
      <c r="U590">
        <v>33.700000000000003</v>
      </c>
      <c r="V590">
        <v>10.1</v>
      </c>
      <c r="W590">
        <v>1.2</v>
      </c>
      <c r="X590">
        <v>0.6</v>
      </c>
    </row>
    <row r="591" spans="1:25" x14ac:dyDescent="0.25">
      <c r="A591" t="s">
        <v>85</v>
      </c>
      <c r="B591" t="s">
        <v>41</v>
      </c>
      <c r="C591" t="s">
        <v>35</v>
      </c>
      <c r="D591">
        <v>2020</v>
      </c>
      <c r="E591">
        <v>126304533</v>
      </c>
      <c r="F591">
        <v>4626661481209</v>
      </c>
      <c r="G591">
        <v>1011.03</v>
      </c>
      <c r="H591">
        <v>1011.03</v>
      </c>
      <c r="I591">
        <v>75.92</v>
      </c>
      <c r="J591">
        <v>8.41</v>
      </c>
      <c r="K591">
        <v>193.03</v>
      </c>
      <c r="L591">
        <v>78.33</v>
      </c>
      <c r="M591">
        <v>43</v>
      </c>
      <c r="N591">
        <v>775</v>
      </c>
      <c r="O591">
        <v>7.5090000000000003</v>
      </c>
      <c r="P591">
        <v>0.83199999999999996</v>
      </c>
      <c r="Q591">
        <v>19.091999999999999</v>
      </c>
      <c r="R591">
        <v>76.653999999999996</v>
      </c>
      <c r="S591">
        <v>23.344999999999999</v>
      </c>
      <c r="T591">
        <v>527.75</v>
      </c>
      <c r="U591">
        <v>37.950000000000003</v>
      </c>
      <c r="V591">
        <v>12.6</v>
      </c>
      <c r="W591">
        <v>12.7</v>
      </c>
      <c r="X591">
        <v>9.4</v>
      </c>
    </row>
    <row r="592" spans="1:25" x14ac:dyDescent="0.25">
      <c r="A592" t="s">
        <v>85</v>
      </c>
      <c r="B592" t="s">
        <v>41</v>
      </c>
      <c r="C592" t="s">
        <v>35</v>
      </c>
      <c r="D592">
        <v>2021</v>
      </c>
      <c r="E592">
        <v>125679342</v>
      </c>
      <c r="F592">
        <v>4725883595048</v>
      </c>
      <c r="G592">
        <v>1034.67</v>
      </c>
      <c r="H592">
        <v>1034.67</v>
      </c>
      <c r="I592">
        <v>84.18</v>
      </c>
      <c r="J592">
        <v>9.5399999999999991</v>
      </c>
      <c r="K592">
        <v>208.14</v>
      </c>
      <c r="L592">
        <v>79.63</v>
      </c>
      <c r="M592">
        <v>61.22</v>
      </c>
      <c r="N592">
        <v>765.31</v>
      </c>
      <c r="O592">
        <v>8.1359999999999992</v>
      </c>
      <c r="P592">
        <v>0.92200000000000004</v>
      </c>
      <c r="Q592">
        <v>20.117000000000001</v>
      </c>
      <c r="R592">
        <v>73.966999999999999</v>
      </c>
      <c r="S592">
        <v>26.033000000000001</v>
      </c>
      <c r="T592">
        <v>514.49</v>
      </c>
      <c r="U592">
        <v>42.17</v>
      </c>
      <c r="V592">
        <v>10.9</v>
      </c>
      <c r="W592">
        <v>13.4</v>
      </c>
      <c r="X592">
        <v>7.8</v>
      </c>
      <c r="Y592" t="s">
        <v>86</v>
      </c>
    </row>
    <row r="593" spans="1:25" x14ac:dyDescent="0.25">
      <c r="A593" t="s">
        <v>85</v>
      </c>
      <c r="B593" t="s">
        <v>41</v>
      </c>
      <c r="C593" t="s">
        <v>35</v>
      </c>
      <c r="D593">
        <v>2022</v>
      </c>
      <c r="E593">
        <v>124997585</v>
      </c>
      <c r="F593">
        <v>4774494846664</v>
      </c>
      <c r="G593">
        <v>1040.57</v>
      </c>
      <c r="H593">
        <v>1040.57</v>
      </c>
      <c r="I593">
        <v>91.07</v>
      </c>
      <c r="J593">
        <v>9.42</v>
      </c>
      <c r="K593">
        <v>213.19</v>
      </c>
      <c r="L593">
        <v>74.87</v>
      </c>
      <c r="M593">
        <v>51.77</v>
      </c>
      <c r="N593">
        <v>775.61</v>
      </c>
      <c r="O593">
        <v>8.7520000000000007</v>
      </c>
      <c r="P593">
        <v>0.90500000000000003</v>
      </c>
      <c r="Q593">
        <v>20.488</v>
      </c>
      <c r="R593">
        <v>74.537000000000006</v>
      </c>
      <c r="S593">
        <v>25.463000000000001</v>
      </c>
      <c r="T593">
        <v>519.6</v>
      </c>
      <c r="U593">
        <v>45.22</v>
      </c>
      <c r="V593">
        <v>8.1999999999999993</v>
      </c>
      <c r="W593">
        <v>-1.3</v>
      </c>
      <c r="X593">
        <v>2.4</v>
      </c>
      <c r="Y593" t="s">
        <v>87</v>
      </c>
    </row>
    <row r="594" spans="1:25" x14ac:dyDescent="0.25">
      <c r="A594" t="s">
        <v>85</v>
      </c>
      <c r="B594" t="s">
        <v>41</v>
      </c>
      <c r="C594" t="s">
        <v>35</v>
      </c>
      <c r="D594">
        <v>2023</v>
      </c>
      <c r="E594">
        <v>124370947</v>
      </c>
      <c r="G594">
        <v>1006.73</v>
      </c>
      <c r="H594">
        <v>1006.73</v>
      </c>
      <c r="I594">
        <v>96.36</v>
      </c>
      <c r="J594">
        <v>9.9600000000000009</v>
      </c>
      <c r="K594">
        <v>222.86</v>
      </c>
      <c r="L594">
        <v>74.53</v>
      </c>
      <c r="M594">
        <v>77.459999999999994</v>
      </c>
      <c r="N594">
        <v>706.41</v>
      </c>
      <c r="O594">
        <v>9.5719999999999992</v>
      </c>
      <c r="P594">
        <v>0.98899999999999999</v>
      </c>
      <c r="Q594">
        <v>22.137</v>
      </c>
      <c r="R594">
        <v>70.168999999999997</v>
      </c>
      <c r="S594">
        <v>29.831</v>
      </c>
      <c r="T594">
        <v>492.45</v>
      </c>
      <c r="U594">
        <v>47.84</v>
      </c>
      <c r="V594">
        <v>5.8</v>
      </c>
      <c r="W594">
        <v>5.7</v>
      </c>
      <c r="X594">
        <v>4.5</v>
      </c>
    </row>
    <row r="595" spans="1:25" x14ac:dyDescent="0.25">
      <c r="A595" t="s">
        <v>85</v>
      </c>
      <c r="B595" t="s">
        <v>41</v>
      </c>
      <c r="C595" t="s">
        <v>35</v>
      </c>
      <c r="D595">
        <v>2024</v>
      </c>
      <c r="E595">
        <v>123753041</v>
      </c>
      <c r="G595">
        <v>1016.39</v>
      </c>
      <c r="H595">
        <v>1016.39</v>
      </c>
      <c r="I595">
        <v>96.7</v>
      </c>
      <c r="J595">
        <v>11.54</v>
      </c>
      <c r="K595">
        <v>233.11</v>
      </c>
      <c r="L595">
        <v>79.45</v>
      </c>
      <c r="M595">
        <v>84.91</v>
      </c>
      <c r="N595">
        <v>698.37</v>
      </c>
      <c r="O595">
        <v>9.5139999999999993</v>
      </c>
      <c r="P595">
        <v>1.135</v>
      </c>
      <c r="Q595">
        <v>22.934999999999999</v>
      </c>
      <c r="R595">
        <v>68.710999999999999</v>
      </c>
      <c r="S595">
        <v>31.289000000000001</v>
      </c>
      <c r="T595">
        <v>483.43</v>
      </c>
      <c r="U595">
        <v>48.71</v>
      </c>
      <c r="V595">
        <v>0.4</v>
      </c>
      <c r="W595">
        <v>15.9</v>
      </c>
      <c r="X595">
        <v>4.5999999999999996</v>
      </c>
    </row>
    <row r="596" spans="1:25" x14ac:dyDescent="0.25">
      <c r="A596" t="s">
        <v>85</v>
      </c>
      <c r="B596" t="s">
        <v>41</v>
      </c>
      <c r="C596" t="s">
        <v>35</v>
      </c>
      <c r="D596">
        <v>2025</v>
      </c>
      <c r="E596">
        <v>123103480</v>
      </c>
      <c r="G596">
        <v>1029.8599999999999</v>
      </c>
      <c r="H596">
        <v>1029.8599999999999</v>
      </c>
      <c r="I596">
        <v>101.06</v>
      </c>
      <c r="J596">
        <v>12.85</v>
      </c>
      <c r="K596">
        <v>242.73</v>
      </c>
      <c r="L596">
        <v>73.900000000000006</v>
      </c>
      <c r="M596">
        <v>94.09</v>
      </c>
      <c r="N596">
        <v>693.04</v>
      </c>
      <c r="O596">
        <v>9.8130000000000006</v>
      </c>
      <c r="P596">
        <v>1.248</v>
      </c>
      <c r="Q596">
        <v>23.568999999999999</v>
      </c>
      <c r="R596">
        <v>67.295000000000002</v>
      </c>
      <c r="S596">
        <v>32.704999999999998</v>
      </c>
      <c r="T596">
        <v>477.26</v>
      </c>
      <c r="U596">
        <v>51.26</v>
      </c>
      <c r="V596">
        <v>4.5</v>
      </c>
      <c r="W596">
        <v>11.4</v>
      </c>
      <c r="X596">
        <v>4.0999999999999996</v>
      </c>
    </row>
    <row r="597" spans="1:25" x14ac:dyDescent="0.25">
      <c r="A597" t="s">
        <v>88</v>
      </c>
      <c r="B597" t="s">
        <v>41</v>
      </c>
      <c r="C597" t="s">
        <v>31</v>
      </c>
      <c r="D597">
        <v>2000</v>
      </c>
      <c r="E597">
        <v>15501108</v>
      </c>
      <c r="F597">
        <v>142758090799</v>
      </c>
      <c r="G597">
        <v>51.64</v>
      </c>
      <c r="H597">
        <v>54.66</v>
      </c>
      <c r="I597">
        <v>0</v>
      </c>
      <c r="J597">
        <v>0</v>
      </c>
      <c r="K597">
        <v>7.53</v>
      </c>
      <c r="L597">
        <v>7.53</v>
      </c>
      <c r="M597">
        <v>0</v>
      </c>
      <c r="N597">
        <v>44.11</v>
      </c>
      <c r="O597">
        <v>0</v>
      </c>
      <c r="P597">
        <v>0</v>
      </c>
      <c r="Q597">
        <v>14.582000000000001</v>
      </c>
      <c r="R597">
        <v>85.418000000000006</v>
      </c>
      <c r="S597">
        <v>14.582000000000001</v>
      </c>
      <c r="T597">
        <v>781.18</v>
      </c>
      <c r="U597">
        <v>0</v>
      </c>
    </row>
    <row r="598" spans="1:25" x14ac:dyDescent="0.25">
      <c r="A598" t="s">
        <v>88</v>
      </c>
      <c r="B598" t="s">
        <v>41</v>
      </c>
      <c r="C598" t="s">
        <v>31</v>
      </c>
      <c r="D598">
        <v>2001</v>
      </c>
      <c r="E598">
        <v>15575550</v>
      </c>
      <c r="F598">
        <v>162896083567</v>
      </c>
      <c r="G598">
        <v>55.38</v>
      </c>
      <c r="H598">
        <v>57.18</v>
      </c>
      <c r="I598">
        <v>0</v>
      </c>
      <c r="J598">
        <v>0</v>
      </c>
      <c r="K598">
        <v>8.08</v>
      </c>
      <c r="L598">
        <v>8.08</v>
      </c>
      <c r="M598">
        <v>0</v>
      </c>
      <c r="N598">
        <v>47.3</v>
      </c>
      <c r="O598">
        <v>0</v>
      </c>
      <c r="P598">
        <v>0</v>
      </c>
      <c r="Q598">
        <v>14.59</v>
      </c>
      <c r="R598">
        <v>85.41</v>
      </c>
      <c r="S598">
        <v>14.59</v>
      </c>
      <c r="T598">
        <v>783.68</v>
      </c>
      <c r="U598">
        <v>0</v>
      </c>
      <c r="X598">
        <v>7.3</v>
      </c>
    </row>
    <row r="599" spans="1:25" x14ac:dyDescent="0.25">
      <c r="A599" t="s">
        <v>88</v>
      </c>
      <c r="B599" t="s">
        <v>41</v>
      </c>
      <c r="C599" t="s">
        <v>31</v>
      </c>
      <c r="D599">
        <v>2002</v>
      </c>
      <c r="E599">
        <v>15656680</v>
      </c>
      <c r="F599">
        <v>179807015103</v>
      </c>
      <c r="G599">
        <v>58.33</v>
      </c>
      <c r="H599">
        <v>58.72</v>
      </c>
      <c r="I599">
        <v>0</v>
      </c>
      <c r="J599">
        <v>0</v>
      </c>
      <c r="K599">
        <v>8.89</v>
      </c>
      <c r="L599">
        <v>8.89</v>
      </c>
      <c r="M599">
        <v>0</v>
      </c>
      <c r="N599">
        <v>49.44</v>
      </c>
      <c r="O599">
        <v>0</v>
      </c>
      <c r="P599">
        <v>0</v>
      </c>
      <c r="Q599">
        <v>15.241</v>
      </c>
      <c r="R599">
        <v>84.759</v>
      </c>
      <c r="S599">
        <v>15.241</v>
      </c>
      <c r="T599">
        <v>775.24</v>
      </c>
      <c r="U599">
        <v>0</v>
      </c>
      <c r="X599">
        <v>10</v>
      </c>
    </row>
    <row r="600" spans="1:25" x14ac:dyDescent="0.25">
      <c r="A600" t="s">
        <v>88</v>
      </c>
      <c r="B600" t="s">
        <v>41</v>
      </c>
      <c r="C600" t="s">
        <v>31</v>
      </c>
      <c r="D600">
        <v>2003</v>
      </c>
      <c r="E600">
        <v>15747377</v>
      </c>
      <c r="F600">
        <v>197584132991</v>
      </c>
      <c r="G600">
        <v>63.86</v>
      </c>
      <c r="H600">
        <v>62.39</v>
      </c>
      <c r="I600">
        <v>0</v>
      </c>
      <c r="J600">
        <v>0</v>
      </c>
      <c r="K600">
        <v>8.6199999999999992</v>
      </c>
      <c r="L600">
        <v>8.6199999999999992</v>
      </c>
      <c r="M600">
        <v>0</v>
      </c>
      <c r="N600">
        <v>55.24</v>
      </c>
      <c r="O600">
        <v>0</v>
      </c>
      <c r="P600">
        <v>0</v>
      </c>
      <c r="Q600">
        <v>13.497999999999999</v>
      </c>
      <c r="R600">
        <v>86.501999999999995</v>
      </c>
      <c r="S600">
        <v>13.497999999999999</v>
      </c>
      <c r="T600">
        <v>793.77</v>
      </c>
      <c r="U600">
        <v>0</v>
      </c>
      <c r="X600">
        <v>-3</v>
      </c>
    </row>
    <row r="601" spans="1:25" x14ac:dyDescent="0.25">
      <c r="A601" t="s">
        <v>88</v>
      </c>
      <c r="B601" t="s">
        <v>41</v>
      </c>
      <c r="C601" t="s">
        <v>31</v>
      </c>
      <c r="D601">
        <v>2004</v>
      </c>
      <c r="E601">
        <v>15850164</v>
      </c>
      <c r="F601">
        <v>217713169930</v>
      </c>
      <c r="G601">
        <v>66.95</v>
      </c>
      <c r="H601">
        <v>64.78</v>
      </c>
      <c r="I601">
        <v>0</v>
      </c>
      <c r="J601">
        <v>0</v>
      </c>
      <c r="K601">
        <v>8.06</v>
      </c>
      <c r="L601">
        <v>8.06</v>
      </c>
      <c r="M601">
        <v>0</v>
      </c>
      <c r="N601">
        <v>58.89</v>
      </c>
      <c r="O601">
        <v>0</v>
      </c>
      <c r="P601">
        <v>0</v>
      </c>
      <c r="Q601">
        <v>12.039</v>
      </c>
      <c r="R601">
        <v>87.960999999999999</v>
      </c>
      <c r="S601">
        <v>12.039</v>
      </c>
      <c r="T601">
        <v>813</v>
      </c>
      <c r="U601">
        <v>0</v>
      </c>
      <c r="X601">
        <v>-6.5</v>
      </c>
    </row>
    <row r="602" spans="1:25" x14ac:dyDescent="0.25">
      <c r="A602" t="s">
        <v>88</v>
      </c>
      <c r="B602" t="s">
        <v>41</v>
      </c>
      <c r="C602" t="s">
        <v>31</v>
      </c>
      <c r="D602">
        <v>2005</v>
      </c>
      <c r="E602">
        <v>15968118</v>
      </c>
      <c r="F602">
        <v>240059743236</v>
      </c>
      <c r="G602">
        <v>67.92</v>
      </c>
      <c r="H602">
        <v>67.790000000000006</v>
      </c>
      <c r="I602">
        <v>0</v>
      </c>
      <c r="J602">
        <v>0</v>
      </c>
      <c r="K602">
        <v>7.86</v>
      </c>
      <c r="L602">
        <v>7.86</v>
      </c>
      <c r="M602">
        <v>0</v>
      </c>
      <c r="N602">
        <v>60.06</v>
      </c>
      <c r="O602">
        <v>0</v>
      </c>
      <c r="P602">
        <v>0</v>
      </c>
      <c r="Q602">
        <v>11.571999999999999</v>
      </c>
      <c r="R602">
        <v>88.427999999999997</v>
      </c>
      <c r="S602">
        <v>11.571999999999999</v>
      </c>
      <c r="T602">
        <v>811.69</v>
      </c>
      <c r="U602">
        <v>0</v>
      </c>
      <c r="X602">
        <v>-2.5</v>
      </c>
    </row>
    <row r="603" spans="1:25" x14ac:dyDescent="0.25">
      <c r="A603" t="s">
        <v>88</v>
      </c>
      <c r="B603" t="s">
        <v>41</v>
      </c>
      <c r="C603" t="s">
        <v>31</v>
      </c>
      <c r="D603">
        <v>2006</v>
      </c>
      <c r="E603">
        <v>16103718</v>
      </c>
      <c r="F603">
        <v>267135182235</v>
      </c>
      <c r="G603">
        <v>71.66</v>
      </c>
      <c r="H603">
        <v>71.88</v>
      </c>
      <c r="I603">
        <v>0</v>
      </c>
      <c r="J603">
        <v>0</v>
      </c>
      <c r="K603">
        <v>7.77</v>
      </c>
      <c r="L603">
        <v>7.77</v>
      </c>
      <c r="M603">
        <v>0</v>
      </c>
      <c r="N603">
        <v>63.89</v>
      </c>
      <c r="O603">
        <v>0</v>
      </c>
      <c r="P603">
        <v>0</v>
      </c>
      <c r="Q603">
        <v>10.843</v>
      </c>
      <c r="R603">
        <v>89.156999999999996</v>
      </c>
      <c r="S603">
        <v>10.843</v>
      </c>
      <c r="T603">
        <v>804.77</v>
      </c>
      <c r="U603">
        <v>0</v>
      </c>
      <c r="X603">
        <v>-1.1000000000000001</v>
      </c>
    </row>
    <row r="604" spans="1:25" x14ac:dyDescent="0.25">
      <c r="A604" t="s">
        <v>88</v>
      </c>
      <c r="B604" t="s">
        <v>41</v>
      </c>
      <c r="C604" t="s">
        <v>31</v>
      </c>
      <c r="D604">
        <v>2007</v>
      </c>
      <c r="E604">
        <v>16257212</v>
      </c>
      <c r="F604">
        <v>292456722644</v>
      </c>
      <c r="G604">
        <v>76.62</v>
      </c>
      <c r="H604">
        <v>76.7</v>
      </c>
      <c r="I604">
        <v>0</v>
      </c>
      <c r="J604">
        <v>0</v>
      </c>
      <c r="K604">
        <v>8.17</v>
      </c>
      <c r="L604">
        <v>8.17</v>
      </c>
      <c r="M604">
        <v>0</v>
      </c>
      <c r="N604">
        <v>68.45</v>
      </c>
      <c r="O604">
        <v>0</v>
      </c>
      <c r="P604">
        <v>0</v>
      </c>
      <c r="Q604">
        <v>10.663</v>
      </c>
      <c r="R604">
        <v>89.337000000000003</v>
      </c>
      <c r="S604">
        <v>10.663</v>
      </c>
      <c r="T604">
        <v>802.53</v>
      </c>
      <c r="U604">
        <v>0</v>
      </c>
      <c r="X604">
        <v>5.0999999999999996</v>
      </c>
    </row>
    <row r="605" spans="1:25" x14ac:dyDescent="0.25">
      <c r="A605" t="s">
        <v>88</v>
      </c>
      <c r="B605" t="s">
        <v>41</v>
      </c>
      <c r="C605" t="s">
        <v>31</v>
      </c>
      <c r="D605">
        <v>2008</v>
      </c>
      <c r="E605">
        <v>16426527</v>
      </c>
      <c r="F605">
        <v>303717015928</v>
      </c>
      <c r="G605">
        <v>80.349999999999994</v>
      </c>
      <c r="H605">
        <v>80.64</v>
      </c>
      <c r="I605">
        <v>0</v>
      </c>
      <c r="J605">
        <v>0</v>
      </c>
      <c r="K605">
        <v>7.46</v>
      </c>
      <c r="L605">
        <v>7.46</v>
      </c>
      <c r="M605">
        <v>0</v>
      </c>
      <c r="N605">
        <v>72.89</v>
      </c>
      <c r="O605">
        <v>0</v>
      </c>
      <c r="P605">
        <v>0</v>
      </c>
      <c r="Q605">
        <v>9.2840000000000007</v>
      </c>
      <c r="R605">
        <v>90.715999999999994</v>
      </c>
      <c r="S605">
        <v>9.2840000000000007</v>
      </c>
      <c r="T605">
        <v>832.11</v>
      </c>
      <c r="U605">
        <v>0</v>
      </c>
      <c r="X605">
        <v>-8.6999999999999993</v>
      </c>
    </row>
    <row r="606" spans="1:25" x14ac:dyDescent="0.25">
      <c r="A606" t="s">
        <v>88</v>
      </c>
      <c r="B606" t="s">
        <v>41</v>
      </c>
      <c r="C606" t="s">
        <v>31</v>
      </c>
      <c r="D606">
        <v>2009</v>
      </c>
      <c r="E606">
        <v>16619851</v>
      </c>
      <c r="F606">
        <v>309012285175</v>
      </c>
      <c r="G606">
        <v>78.73</v>
      </c>
      <c r="H606">
        <v>78.06</v>
      </c>
      <c r="I606">
        <v>0</v>
      </c>
      <c r="J606">
        <v>0</v>
      </c>
      <c r="K606">
        <v>6.88</v>
      </c>
      <c r="L606">
        <v>6.88</v>
      </c>
      <c r="M606">
        <v>0</v>
      </c>
      <c r="N606">
        <v>71.849999999999994</v>
      </c>
      <c r="O606">
        <v>0</v>
      </c>
      <c r="P606">
        <v>0</v>
      </c>
      <c r="Q606">
        <v>8.7390000000000008</v>
      </c>
      <c r="R606">
        <v>91.260999999999996</v>
      </c>
      <c r="S606">
        <v>8.7390000000000008</v>
      </c>
      <c r="T606">
        <v>848.72</v>
      </c>
      <c r="U606">
        <v>0</v>
      </c>
      <c r="X606">
        <v>-7.8</v>
      </c>
    </row>
    <row r="607" spans="1:25" x14ac:dyDescent="0.25">
      <c r="A607" t="s">
        <v>88</v>
      </c>
      <c r="B607" t="s">
        <v>41</v>
      </c>
      <c r="C607" t="s">
        <v>31</v>
      </c>
      <c r="D607">
        <v>2010</v>
      </c>
      <c r="E607">
        <v>16836808</v>
      </c>
      <c r="F607">
        <v>333341740713</v>
      </c>
      <c r="G607">
        <v>82.65</v>
      </c>
      <c r="H607">
        <v>83.81</v>
      </c>
      <c r="I607">
        <v>0</v>
      </c>
      <c r="J607">
        <v>0</v>
      </c>
      <c r="K607">
        <v>8.02</v>
      </c>
      <c r="L607">
        <v>8.02</v>
      </c>
      <c r="M607">
        <v>0</v>
      </c>
      <c r="N607">
        <v>74.63</v>
      </c>
      <c r="O607">
        <v>0</v>
      </c>
      <c r="P607">
        <v>0</v>
      </c>
      <c r="Q607">
        <v>9.7040000000000006</v>
      </c>
      <c r="R607">
        <v>90.296000000000006</v>
      </c>
      <c r="S607">
        <v>9.7040000000000006</v>
      </c>
      <c r="T607">
        <v>835.57</v>
      </c>
      <c r="U607">
        <v>0</v>
      </c>
      <c r="X607">
        <v>16.600000000000001</v>
      </c>
    </row>
    <row r="608" spans="1:25" x14ac:dyDescent="0.25">
      <c r="A608" t="s">
        <v>88</v>
      </c>
      <c r="B608" t="s">
        <v>41</v>
      </c>
      <c r="C608" t="s">
        <v>31</v>
      </c>
      <c r="D608">
        <v>2011</v>
      </c>
      <c r="E608">
        <v>17065996</v>
      </c>
      <c r="F608">
        <v>360244945296</v>
      </c>
      <c r="G608">
        <v>86.58</v>
      </c>
      <c r="H608">
        <v>87.37</v>
      </c>
      <c r="I608">
        <v>0</v>
      </c>
      <c r="J608">
        <v>0</v>
      </c>
      <c r="K608">
        <v>7.88</v>
      </c>
      <c r="L608">
        <v>7.88</v>
      </c>
      <c r="M608">
        <v>0</v>
      </c>
      <c r="N608">
        <v>78.7</v>
      </c>
      <c r="O608">
        <v>0</v>
      </c>
      <c r="P608">
        <v>0</v>
      </c>
      <c r="Q608">
        <v>9.1010000000000009</v>
      </c>
      <c r="R608">
        <v>90.899000000000001</v>
      </c>
      <c r="S608">
        <v>9.1010000000000009</v>
      </c>
      <c r="T608">
        <v>841.65</v>
      </c>
      <c r="U608">
        <v>0</v>
      </c>
      <c r="X608">
        <v>-1.7</v>
      </c>
    </row>
    <row r="609" spans="1:25" x14ac:dyDescent="0.25">
      <c r="A609" t="s">
        <v>88</v>
      </c>
      <c r="B609" t="s">
        <v>41</v>
      </c>
      <c r="C609" t="s">
        <v>31</v>
      </c>
      <c r="D609">
        <v>2012</v>
      </c>
      <c r="E609">
        <v>17306115</v>
      </c>
      <c r="F609">
        <v>378260779954</v>
      </c>
      <c r="G609">
        <v>90.62</v>
      </c>
      <c r="H609">
        <v>91.94</v>
      </c>
      <c r="I609">
        <v>0</v>
      </c>
      <c r="J609">
        <v>0</v>
      </c>
      <c r="K609">
        <v>7.64</v>
      </c>
      <c r="L609">
        <v>7.64</v>
      </c>
      <c r="M609">
        <v>0</v>
      </c>
      <c r="N609">
        <v>82.98</v>
      </c>
      <c r="O609">
        <v>0</v>
      </c>
      <c r="P609">
        <v>0</v>
      </c>
      <c r="Q609">
        <v>8.4309999999999992</v>
      </c>
      <c r="R609">
        <v>91.569000000000003</v>
      </c>
      <c r="S609">
        <v>8.4309999999999992</v>
      </c>
      <c r="T609">
        <v>852.68</v>
      </c>
      <c r="U609">
        <v>0</v>
      </c>
      <c r="X609">
        <v>-3</v>
      </c>
    </row>
    <row r="610" spans="1:25" x14ac:dyDescent="0.25">
      <c r="A610" t="s">
        <v>88</v>
      </c>
      <c r="B610" t="s">
        <v>41</v>
      </c>
      <c r="C610" t="s">
        <v>31</v>
      </c>
      <c r="D610">
        <v>2013</v>
      </c>
      <c r="E610">
        <v>17556502</v>
      </c>
      <c r="F610">
        <v>400574375261</v>
      </c>
      <c r="G610">
        <v>92.61</v>
      </c>
      <c r="H610">
        <v>91.76</v>
      </c>
      <c r="I610">
        <v>0</v>
      </c>
      <c r="J610">
        <v>0</v>
      </c>
      <c r="K610">
        <v>7.73</v>
      </c>
      <c r="L610">
        <v>7.73</v>
      </c>
      <c r="M610">
        <v>0</v>
      </c>
      <c r="N610">
        <v>84.88</v>
      </c>
      <c r="O610">
        <v>0</v>
      </c>
      <c r="P610">
        <v>0</v>
      </c>
      <c r="Q610">
        <v>8.3469999999999995</v>
      </c>
      <c r="R610">
        <v>91.653000000000006</v>
      </c>
      <c r="S610">
        <v>8.3469999999999995</v>
      </c>
      <c r="T610">
        <v>854.88</v>
      </c>
      <c r="U610">
        <v>0</v>
      </c>
      <c r="X610">
        <v>1.2</v>
      </c>
    </row>
    <row r="611" spans="1:25" x14ac:dyDescent="0.25">
      <c r="A611" t="s">
        <v>88</v>
      </c>
      <c r="B611" t="s">
        <v>41</v>
      </c>
      <c r="C611" t="s">
        <v>31</v>
      </c>
      <c r="D611">
        <v>2014</v>
      </c>
      <c r="E611">
        <v>17816285</v>
      </c>
      <c r="F611">
        <v>417799078586</v>
      </c>
      <c r="G611">
        <v>94.64</v>
      </c>
      <c r="H611">
        <v>93.47</v>
      </c>
      <c r="I611">
        <v>0</v>
      </c>
      <c r="J611">
        <v>0.01</v>
      </c>
      <c r="K611">
        <v>8.27</v>
      </c>
      <c r="L611">
        <v>8.26</v>
      </c>
      <c r="M611">
        <v>0</v>
      </c>
      <c r="N611">
        <v>86.37</v>
      </c>
      <c r="O611">
        <v>0</v>
      </c>
      <c r="P611">
        <v>1.0999999999999999E-2</v>
      </c>
      <c r="Q611">
        <v>8.7379999999999995</v>
      </c>
      <c r="R611">
        <v>91.262</v>
      </c>
      <c r="S611">
        <v>8.7379999999999995</v>
      </c>
      <c r="T611">
        <v>851.44</v>
      </c>
      <c r="U611">
        <v>0</v>
      </c>
      <c r="X611">
        <v>7</v>
      </c>
    </row>
    <row r="612" spans="1:25" x14ac:dyDescent="0.25">
      <c r="A612" t="s">
        <v>88</v>
      </c>
      <c r="B612" t="s">
        <v>41</v>
      </c>
      <c r="C612" t="s">
        <v>31</v>
      </c>
      <c r="D612">
        <v>2015</v>
      </c>
      <c r="E612">
        <v>18084175</v>
      </c>
      <c r="F612">
        <v>421977118608</v>
      </c>
      <c r="G612">
        <v>91.65</v>
      </c>
      <c r="H612">
        <v>91.65</v>
      </c>
      <c r="I612">
        <v>0.05</v>
      </c>
      <c r="J612">
        <v>0.13</v>
      </c>
      <c r="K612">
        <v>9.4499999999999993</v>
      </c>
      <c r="L612">
        <v>9.27</v>
      </c>
      <c r="M612">
        <v>0</v>
      </c>
      <c r="N612">
        <v>82.2</v>
      </c>
      <c r="O612">
        <v>5.5E-2</v>
      </c>
      <c r="P612">
        <v>0.14199999999999999</v>
      </c>
      <c r="Q612">
        <v>10.311</v>
      </c>
      <c r="R612">
        <v>89.688999999999993</v>
      </c>
      <c r="S612">
        <v>10.311</v>
      </c>
      <c r="T612">
        <v>836.12</v>
      </c>
      <c r="U612">
        <v>0.08</v>
      </c>
      <c r="W612">
        <v>1200</v>
      </c>
      <c r="X612">
        <v>14.3</v>
      </c>
    </row>
    <row r="613" spans="1:25" x14ac:dyDescent="0.25">
      <c r="A613" t="s">
        <v>88</v>
      </c>
      <c r="B613" t="s">
        <v>41</v>
      </c>
      <c r="C613" t="s">
        <v>31</v>
      </c>
      <c r="D613">
        <v>2016</v>
      </c>
      <c r="E613">
        <v>18363600</v>
      </c>
      <c r="F613">
        <v>425774884998</v>
      </c>
      <c r="G613">
        <v>94.63</v>
      </c>
      <c r="H613">
        <v>93.38</v>
      </c>
      <c r="I613">
        <v>0.09</v>
      </c>
      <c r="J613">
        <v>0.27</v>
      </c>
      <c r="K613">
        <v>11.98</v>
      </c>
      <c r="L613">
        <v>11.62</v>
      </c>
      <c r="M613">
        <v>0</v>
      </c>
      <c r="N613">
        <v>82.65</v>
      </c>
      <c r="O613">
        <v>9.5000000000000001E-2</v>
      </c>
      <c r="P613">
        <v>0.28499999999999998</v>
      </c>
      <c r="Q613">
        <v>12.66</v>
      </c>
      <c r="R613">
        <v>87.34</v>
      </c>
      <c r="S613">
        <v>12.66</v>
      </c>
      <c r="T613">
        <v>814.96</v>
      </c>
      <c r="U613">
        <v>0.16</v>
      </c>
      <c r="V613">
        <v>80</v>
      </c>
      <c r="W613">
        <v>107.7</v>
      </c>
      <c r="X613">
        <v>26.8</v>
      </c>
    </row>
    <row r="614" spans="1:25" x14ac:dyDescent="0.25">
      <c r="A614" t="s">
        <v>88</v>
      </c>
      <c r="B614" t="s">
        <v>41</v>
      </c>
      <c r="C614" t="s">
        <v>31</v>
      </c>
      <c r="D614">
        <v>2017</v>
      </c>
      <c r="E614">
        <v>18651931</v>
      </c>
      <c r="F614">
        <v>442384368842</v>
      </c>
      <c r="G614">
        <v>103.12</v>
      </c>
      <c r="H614">
        <v>98.76</v>
      </c>
      <c r="I614">
        <v>0.09</v>
      </c>
      <c r="J614">
        <v>0.34</v>
      </c>
      <c r="K614">
        <v>11.64</v>
      </c>
      <c r="L614">
        <v>11.21</v>
      </c>
      <c r="M614">
        <v>0</v>
      </c>
      <c r="N614">
        <v>91.48</v>
      </c>
      <c r="O614">
        <v>8.6999999999999994E-2</v>
      </c>
      <c r="P614">
        <v>0.33</v>
      </c>
      <c r="Q614">
        <v>11.288</v>
      </c>
      <c r="R614">
        <v>88.712000000000003</v>
      </c>
      <c r="S614">
        <v>11.288</v>
      </c>
      <c r="T614">
        <v>831.85</v>
      </c>
      <c r="U614">
        <v>0.19</v>
      </c>
      <c r="V614">
        <v>0</v>
      </c>
      <c r="W614">
        <v>25.9</v>
      </c>
      <c r="X614">
        <v>-2.8</v>
      </c>
    </row>
    <row r="615" spans="1:25" x14ac:dyDescent="0.25">
      <c r="A615" t="s">
        <v>88</v>
      </c>
      <c r="B615" t="s">
        <v>41</v>
      </c>
      <c r="C615" t="s">
        <v>31</v>
      </c>
      <c r="D615">
        <v>2018</v>
      </c>
      <c r="E615">
        <v>18932725</v>
      </c>
      <c r="F615">
        <v>460522121041</v>
      </c>
      <c r="G615">
        <v>107.28</v>
      </c>
      <c r="H615">
        <v>103.8</v>
      </c>
      <c r="I615">
        <v>0.14000000000000001</v>
      </c>
      <c r="J615">
        <v>0.39</v>
      </c>
      <c r="K615">
        <v>10.91</v>
      </c>
      <c r="L615">
        <v>10.38</v>
      </c>
      <c r="M615">
        <v>0</v>
      </c>
      <c r="N615">
        <v>96.37</v>
      </c>
      <c r="O615">
        <v>0.13</v>
      </c>
      <c r="P615">
        <v>0.36399999999999999</v>
      </c>
      <c r="Q615">
        <v>10.17</v>
      </c>
      <c r="R615">
        <v>89.83</v>
      </c>
      <c r="S615">
        <v>10.17</v>
      </c>
      <c r="T615">
        <v>841.16</v>
      </c>
      <c r="U615">
        <v>0.24</v>
      </c>
      <c r="V615">
        <v>55.6</v>
      </c>
      <c r="W615">
        <v>14.7</v>
      </c>
      <c r="X615">
        <v>-6.3</v>
      </c>
    </row>
    <row r="616" spans="1:25" x14ac:dyDescent="0.25">
      <c r="A616" t="s">
        <v>88</v>
      </c>
      <c r="B616" t="s">
        <v>41</v>
      </c>
      <c r="C616" t="s">
        <v>31</v>
      </c>
      <c r="D616">
        <v>2019</v>
      </c>
      <c r="E616">
        <v>19209556</v>
      </c>
      <c r="F616">
        <v>481245619523</v>
      </c>
      <c r="G616">
        <v>106.48</v>
      </c>
      <c r="H616">
        <v>103.42</v>
      </c>
      <c r="I616">
        <v>0.39</v>
      </c>
      <c r="J616">
        <v>0.71</v>
      </c>
      <c r="K616">
        <v>11.09</v>
      </c>
      <c r="L616">
        <v>9.99</v>
      </c>
      <c r="M616">
        <v>0</v>
      </c>
      <c r="N616">
        <v>95.39</v>
      </c>
      <c r="O616">
        <v>0.36599999999999999</v>
      </c>
      <c r="P616">
        <v>0.66700000000000004</v>
      </c>
      <c r="Q616">
        <v>10.414999999999999</v>
      </c>
      <c r="R616">
        <v>89.584999999999994</v>
      </c>
      <c r="S616">
        <v>10.414999999999999</v>
      </c>
      <c r="T616">
        <v>839.41</v>
      </c>
      <c r="U616">
        <v>0.5</v>
      </c>
      <c r="V616">
        <v>178.6</v>
      </c>
      <c r="W616">
        <v>82.1</v>
      </c>
      <c r="X616">
        <v>1.6</v>
      </c>
    </row>
    <row r="617" spans="1:25" x14ac:dyDescent="0.25">
      <c r="A617" t="s">
        <v>88</v>
      </c>
      <c r="B617" t="s">
        <v>41</v>
      </c>
      <c r="C617" t="s">
        <v>31</v>
      </c>
      <c r="D617">
        <v>2020</v>
      </c>
      <c r="E617">
        <v>19482116</v>
      </c>
      <c r="F617">
        <v>468733212615</v>
      </c>
      <c r="G617">
        <v>108.64</v>
      </c>
      <c r="H617">
        <v>107.9</v>
      </c>
      <c r="I617">
        <v>1.24</v>
      </c>
      <c r="J617">
        <v>1.03</v>
      </c>
      <c r="K617">
        <v>11.94</v>
      </c>
      <c r="L617">
        <v>9.66</v>
      </c>
      <c r="M617">
        <v>0</v>
      </c>
      <c r="N617">
        <v>96.7</v>
      </c>
      <c r="O617">
        <v>1.141</v>
      </c>
      <c r="P617">
        <v>0.94799999999999995</v>
      </c>
      <c r="Q617">
        <v>10.99</v>
      </c>
      <c r="R617">
        <v>89.01</v>
      </c>
      <c r="S617">
        <v>10.99</v>
      </c>
      <c r="T617">
        <v>835.88</v>
      </c>
      <c r="U617">
        <v>1.02</v>
      </c>
      <c r="V617">
        <v>217.9</v>
      </c>
      <c r="W617">
        <v>45.1</v>
      </c>
      <c r="X617">
        <v>7.7</v>
      </c>
    </row>
    <row r="618" spans="1:25" x14ac:dyDescent="0.25">
      <c r="A618" t="s">
        <v>88</v>
      </c>
      <c r="B618" t="s">
        <v>41</v>
      </c>
      <c r="C618" t="s">
        <v>31</v>
      </c>
      <c r="D618">
        <v>2021</v>
      </c>
      <c r="E618">
        <v>19743607</v>
      </c>
      <c r="F618">
        <v>487951301251</v>
      </c>
      <c r="G618">
        <v>115.08</v>
      </c>
      <c r="H618">
        <v>114.52</v>
      </c>
      <c r="I618">
        <v>1.63</v>
      </c>
      <c r="J618">
        <v>1.75</v>
      </c>
      <c r="K618">
        <v>12.59</v>
      </c>
      <c r="L618">
        <v>9.2100000000000009</v>
      </c>
      <c r="M618">
        <v>0</v>
      </c>
      <c r="N618">
        <v>102.49</v>
      </c>
      <c r="O618">
        <v>1.4159999999999999</v>
      </c>
      <c r="P618">
        <v>1.5209999999999999</v>
      </c>
      <c r="Q618">
        <v>10.94</v>
      </c>
      <c r="R618">
        <v>89.06</v>
      </c>
      <c r="S618">
        <v>10.94</v>
      </c>
      <c r="T618">
        <v>833.25</v>
      </c>
      <c r="U618">
        <v>1.52</v>
      </c>
      <c r="V618">
        <v>31.5</v>
      </c>
      <c r="W618">
        <v>69.900000000000006</v>
      </c>
      <c r="X618">
        <v>5.4</v>
      </c>
      <c r="Y618" t="s">
        <v>55</v>
      </c>
    </row>
    <row r="619" spans="1:25" x14ac:dyDescent="0.25">
      <c r="A619" t="s">
        <v>88</v>
      </c>
      <c r="B619" t="s">
        <v>41</v>
      </c>
      <c r="C619" t="s">
        <v>31</v>
      </c>
      <c r="D619">
        <v>2022</v>
      </c>
      <c r="E619">
        <v>20034612</v>
      </c>
      <c r="F619">
        <v>503634062609</v>
      </c>
      <c r="G619">
        <v>113.44</v>
      </c>
      <c r="H619">
        <v>114.89</v>
      </c>
      <c r="I619">
        <v>1.77</v>
      </c>
      <c r="J619">
        <v>2.31</v>
      </c>
      <c r="K619">
        <v>13.28</v>
      </c>
      <c r="L619">
        <v>9.1999999999999993</v>
      </c>
      <c r="M619">
        <v>0</v>
      </c>
      <c r="N619">
        <v>100.16</v>
      </c>
      <c r="O619">
        <v>1.56</v>
      </c>
      <c r="P619">
        <v>2.036</v>
      </c>
      <c r="Q619">
        <v>11.707000000000001</v>
      </c>
      <c r="R619">
        <v>88.293000000000006</v>
      </c>
      <c r="S619">
        <v>11.707000000000001</v>
      </c>
      <c r="T619">
        <v>831.01</v>
      </c>
      <c r="U619">
        <v>1.84</v>
      </c>
      <c r="V619">
        <v>8.6</v>
      </c>
      <c r="W619">
        <v>32</v>
      </c>
      <c r="X619">
        <v>5.5</v>
      </c>
    </row>
    <row r="620" spans="1:25" x14ac:dyDescent="0.25">
      <c r="A620" t="s">
        <v>88</v>
      </c>
      <c r="B620" t="s">
        <v>41</v>
      </c>
      <c r="C620" t="s">
        <v>31</v>
      </c>
      <c r="D620">
        <v>2023</v>
      </c>
      <c r="E620">
        <v>20330109</v>
      </c>
      <c r="G620">
        <v>113.59</v>
      </c>
      <c r="H620">
        <v>115.66</v>
      </c>
      <c r="I620">
        <v>1.87</v>
      </c>
      <c r="J620">
        <v>3.78</v>
      </c>
      <c r="K620">
        <v>14.46</v>
      </c>
      <c r="L620">
        <v>8.8000000000000007</v>
      </c>
      <c r="M620">
        <v>0</v>
      </c>
      <c r="N620">
        <v>99.13</v>
      </c>
      <c r="O620">
        <v>1.6459999999999999</v>
      </c>
      <c r="P620">
        <v>3.3279999999999998</v>
      </c>
      <c r="Q620">
        <v>12.73</v>
      </c>
      <c r="R620">
        <v>87.27</v>
      </c>
      <c r="S620">
        <v>12.73</v>
      </c>
      <c r="T620">
        <v>826.66</v>
      </c>
      <c r="U620">
        <v>2.54</v>
      </c>
      <c r="V620">
        <v>5.6</v>
      </c>
      <c r="W620">
        <v>63.6</v>
      </c>
      <c r="X620">
        <v>8.9</v>
      </c>
    </row>
    <row r="621" spans="1:25" x14ac:dyDescent="0.25">
      <c r="A621" t="s">
        <v>88</v>
      </c>
      <c r="B621" t="s">
        <v>41</v>
      </c>
      <c r="C621" t="s">
        <v>31</v>
      </c>
      <c r="D621">
        <v>2024</v>
      </c>
      <c r="E621">
        <v>20592574</v>
      </c>
      <c r="G621">
        <v>118.51</v>
      </c>
      <c r="H621">
        <v>120.92</v>
      </c>
      <c r="I621">
        <v>1.87</v>
      </c>
      <c r="J621">
        <v>4.91</v>
      </c>
      <c r="K621">
        <v>18.03</v>
      </c>
      <c r="L621">
        <v>11.25</v>
      </c>
      <c r="M621">
        <v>0</v>
      </c>
      <c r="N621">
        <v>100.48</v>
      </c>
      <c r="O621">
        <v>1.5780000000000001</v>
      </c>
      <c r="P621">
        <v>4.1429999999999998</v>
      </c>
      <c r="Q621">
        <v>15.214</v>
      </c>
      <c r="R621">
        <v>84.786000000000001</v>
      </c>
      <c r="S621">
        <v>15.214</v>
      </c>
      <c r="T621">
        <v>802.04</v>
      </c>
      <c r="U621">
        <v>3.05</v>
      </c>
      <c r="V621">
        <v>0</v>
      </c>
      <c r="W621">
        <v>29.9</v>
      </c>
      <c r="X621">
        <v>24.7</v>
      </c>
    </row>
    <row r="622" spans="1:25" x14ac:dyDescent="0.25">
      <c r="A622" t="s">
        <v>88</v>
      </c>
      <c r="B622" t="s">
        <v>41</v>
      </c>
      <c r="C622" t="s">
        <v>31</v>
      </c>
      <c r="D622">
        <v>2025</v>
      </c>
      <c r="E622">
        <v>20843758</v>
      </c>
      <c r="G622">
        <v>123.69</v>
      </c>
      <c r="H622">
        <v>126.1</v>
      </c>
      <c r="I622">
        <v>2.04</v>
      </c>
      <c r="J622">
        <v>5.83</v>
      </c>
      <c r="K622">
        <v>18.38</v>
      </c>
      <c r="L622">
        <v>10.51</v>
      </c>
      <c r="N622">
        <v>105.31</v>
      </c>
      <c r="O622">
        <v>1.649</v>
      </c>
      <c r="P622">
        <v>4.7130000000000001</v>
      </c>
      <c r="Q622">
        <v>14.86</v>
      </c>
      <c r="R622">
        <v>85.14</v>
      </c>
      <c r="S622">
        <v>14.86</v>
      </c>
      <c r="T622">
        <v>805.32</v>
      </c>
      <c r="U622">
        <v>3.54</v>
      </c>
      <c r="V622">
        <v>9.1</v>
      </c>
      <c r="W622">
        <v>18.7</v>
      </c>
      <c r="X622">
        <v>1.9</v>
      </c>
    </row>
    <row r="623" spans="1:25" x14ac:dyDescent="0.25">
      <c r="A623" t="s">
        <v>89</v>
      </c>
      <c r="B623" t="s">
        <v>78</v>
      </c>
      <c r="C623" t="s">
        <v>35</v>
      </c>
      <c r="D623">
        <v>2000</v>
      </c>
      <c r="E623">
        <v>1954713</v>
      </c>
      <c r="F623">
        <v>71053965539</v>
      </c>
      <c r="G623">
        <v>32.33</v>
      </c>
      <c r="H623">
        <v>32.33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32.33</v>
      </c>
      <c r="O623">
        <v>0</v>
      </c>
      <c r="P623">
        <v>0</v>
      </c>
      <c r="Q623">
        <v>0</v>
      </c>
      <c r="R623">
        <v>100</v>
      </c>
      <c r="S623">
        <v>0</v>
      </c>
      <c r="T623">
        <v>653.88</v>
      </c>
      <c r="U623">
        <v>0</v>
      </c>
    </row>
    <row r="624" spans="1:25" x14ac:dyDescent="0.25">
      <c r="A624" t="s">
        <v>89</v>
      </c>
      <c r="B624" t="s">
        <v>78</v>
      </c>
      <c r="C624" t="s">
        <v>35</v>
      </c>
      <c r="D624">
        <v>2001</v>
      </c>
      <c r="E624">
        <v>2008127</v>
      </c>
      <c r="F624">
        <v>75867443155</v>
      </c>
      <c r="G624">
        <v>34.299999999999997</v>
      </c>
      <c r="H624">
        <v>34.299999999999997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34.299999999999997</v>
      </c>
      <c r="O624">
        <v>0</v>
      </c>
      <c r="P624">
        <v>0</v>
      </c>
      <c r="Q624">
        <v>0</v>
      </c>
      <c r="R624">
        <v>100</v>
      </c>
      <c r="S624">
        <v>0</v>
      </c>
      <c r="T624">
        <v>653.94000000000005</v>
      </c>
      <c r="U624">
        <v>0</v>
      </c>
    </row>
    <row r="625" spans="1:24" x14ac:dyDescent="0.25">
      <c r="A625" t="s">
        <v>89</v>
      </c>
      <c r="B625" t="s">
        <v>78</v>
      </c>
      <c r="C625" t="s">
        <v>35</v>
      </c>
      <c r="D625">
        <v>2002</v>
      </c>
      <c r="E625">
        <v>2059983</v>
      </c>
      <c r="F625">
        <v>83636154969</v>
      </c>
      <c r="G625">
        <v>36.369999999999997</v>
      </c>
      <c r="H625">
        <v>36.369999999999997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36.369999999999997</v>
      </c>
      <c r="O625">
        <v>0</v>
      </c>
      <c r="P625">
        <v>0</v>
      </c>
      <c r="Q625">
        <v>0</v>
      </c>
      <c r="R625">
        <v>100</v>
      </c>
      <c r="S625">
        <v>0</v>
      </c>
      <c r="T625">
        <v>655.21</v>
      </c>
      <c r="U625">
        <v>0</v>
      </c>
    </row>
    <row r="626" spans="1:24" x14ac:dyDescent="0.25">
      <c r="A626" t="s">
        <v>89</v>
      </c>
      <c r="B626" t="s">
        <v>78</v>
      </c>
      <c r="C626" t="s">
        <v>35</v>
      </c>
      <c r="D626">
        <v>2003</v>
      </c>
      <c r="E626">
        <v>2109886</v>
      </c>
      <c r="F626">
        <v>104974065782</v>
      </c>
      <c r="G626">
        <v>39.799999999999997</v>
      </c>
      <c r="H626">
        <v>39.799999999999997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39.799999999999997</v>
      </c>
      <c r="O626">
        <v>0</v>
      </c>
      <c r="P626">
        <v>0</v>
      </c>
      <c r="Q626">
        <v>0</v>
      </c>
      <c r="R626">
        <v>100</v>
      </c>
      <c r="S626">
        <v>0</v>
      </c>
      <c r="T626">
        <v>654.77</v>
      </c>
      <c r="U626">
        <v>0</v>
      </c>
    </row>
    <row r="627" spans="1:24" x14ac:dyDescent="0.25">
      <c r="A627" t="s">
        <v>89</v>
      </c>
      <c r="B627" t="s">
        <v>78</v>
      </c>
      <c r="C627" t="s">
        <v>35</v>
      </c>
      <c r="D627">
        <v>2004</v>
      </c>
      <c r="E627">
        <v>2157329</v>
      </c>
      <c r="F627">
        <v>123477836787</v>
      </c>
      <c r="G627">
        <v>41.26</v>
      </c>
      <c r="H627">
        <v>41.26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41.26</v>
      </c>
      <c r="O627">
        <v>0</v>
      </c>
      <c r="P627">
        <v>0</v>
      </c>
      <c r="Q627">
        <v>0</v>
      </c>
      <c r="R627">
        <v>100</v>
      </c>
      <c r="S627">
        <v>0</v>
      </c>
      <c r="T627">
        <v>654.39</v>
      </c>
      <c r="U627">
        <v>0</v>
      </c>
    </row>
    <row r="628" spans="1:24" x14ac:dyDescent="0.25">
      <c r="A628" t="s">
        <v>89</v>
      </c>
      <c r="B628" t="s">
        <v>78</v>
      </c>
      <c r="C628" t="s">
        <v>35</v>
      </c>
      <c r="D628">
        <v>2005</v>
      </c>
      <c r="E628">
        <v>2236797</v>
      </c>
      <c r="F628">
        <v>142799938874</v>
      </c>
      <c r="G628">
        <v>43.73</v>
      </c>
      <c r="H628">
        <v>43.73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43.73</v>
      </c>
      <c r="O628">
        <v>0</v>
      </c>
      <c r="P628">
        <v>0</v>
      </c>
      <c r="Q628">
        <v>0</v>
      </c>
      <c r="R628">
        <v>100</v>
      </c>
      <c r="S628">
        <v>0</v>
      </c>
      <c r="T628">
        <v>654.70000000000005</v>
      </c>
      <c r="U628">
        <v>0</v>
      </c>
    </row>
    <row r="629" spans="1:24" x14ac:dyDescent="0.25">
      <c r="A629" t="s">
        <v>89</v>
      </c>
      <c r="B629" t="s">
        <v>78</v>
      </c>
      <c r="C629" t="s">
        <v>35</v>
      </c>
      <c r="D629">
        <v>2006</v>
      </c>
      <c r="E629">
        <v>2364741</v>
      </c>
      <c r="F629">
        <v>159619963672</v>
      </c>
      <c r="G629">
        <v>47.6</v>
      </c>
      <c r="H629">
        <v>47.6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47.6</v>
      </c>
      <c r="O629">
        <v>0</v>
      </c>
      <c r="P629">
        <v>0</v>
      </c>
      <c r="Q629">
        <v>0</v>
      </c>
      <c r="R629">
        <v>100</v>
      </c>
      <c r="S629">
        <v>0</v>
      </c>
      <c r="T629">
        <v>653.78</v>
      </c>
      <c r="U629">
        <v>0</v>
      </c>
    </row>
    <row r="630" spans="1:24" x14ac:dyDescent="0.25">
      <c r="A630" t="s">
        <v>89</v>
      </c>
      <c r="B630" t="s">
        <v>78</v>
      </c>
      <c r="C630" t="s">
        <v>35</v>
      </c>
      <c r="D630">
        <v>2007</v>
      </c>
      <c r="E630">
        <v>2507890</v>
      </c>
      <c r="F630">
        <v>174545824817</v>
      </c>
      <c r="G630">
        <v>48.75</v>
      </c>
      <c r="H630">
        <v>48.75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48.75</v>
      </c>
      <c r="O630">
        <v>0</v>
      </c>
      <c r="P630">
        <v>0</v>
      </c>
      <c r="Q630">
        <v>0</v>
      </c>
      <c r="R630">
        <v>100</v>
      </c>
      <c r="S630">
        <v>0</v>
      </c>
      <c r="T630">
        <v>653.74</v>
      </c>
      <c r="U630">
        <v>0</v>
      </c>
    </row>
    <row r="631" spans="1:24" x14ac:dyDescent="0.25">
      <c r="A631" t="s">
        <v>89</v>
      </c>
      <c r="B631" t="s">
        <v>78</v>
      </c>
      <c r="C631" t="s">
        <v>35</v>
      </c>
      <c r="D631">
        <v>2008</v>
      </c>
      <c r="E631">
        <v>2651433</v>
      </c>
      <c r="F631">
        <v>183755530386</v>
      </c>
      <c r="G631">
        <v>51.75</v>
      </c>
      <c r="H631">
        <v>51.75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51.75</v>
      </c>
      <c r="O631">
        <v>0</v>
      </c>
      <c r="P631">
        <v>0</v>
      </c>
      <c r="Q631">
        <v>0</v>
      </c>
      <c r="R631">
        <v>100</v>
      </c>
      <c r="S631">
        <v>0</v>
      </c>
      <c r="T631">
        <v>653.14</v>
      </c>
      <c r="U631">
        <v>0</v>
      </c>
    </row>
    <row r="632" spans="1:24" x14ac:dyDescent="0.25">
      <c r="A632" t="s">
        <v>89</v>
      </c>
      <c r="B632" t="s">
        <v>78</v>
      </c>
      <c r="C632" t="s">
        <v>35</v>
      </c>
      <c r="D632">
        <v>2009</v>
      </c>
      <c r="E632">
        <v>2795489</v>
      </c>
      <c r="F632">
        <v>175302339443</v>
      </c>
      <c r="G632">
        <v>53.22</v>
      </c>
      <c r="H632">
        <v>53.22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53.22</v>
      </c>
      <c r="O632">
        <v>0</v>
      </c>
      <c r="P632">
        <v>0</v>
      </c>
      <c r="Q632">
        <v>0</v>
      </c>
      <c r="R632">
        <v>100</v>
      </c>
      <c r="S632">
        <v>0</v>
      </c>
      <c r="T632">
        <v>654.27</v>
      </c>
      <c r="U632">
        <v>0</v>
      </c>
    </row>
    <row r="633" spans="1:24" x14ac:dyDescent="0.25">
      <c r="A633" t="s">
        <v>89</v>
      </c>
      <c r="B633" t="s">
        <v>78</v>
      </c>
      <c r="C633" t="s">
        <v>35</v>
      </c>
      <c r="D633">
        <v>2010</v>
      </c>
      <c r="E633">
        <v>2943374</v>
      </c>
      <c r="F633">
        <v>176036955078</v>
      </c>
      <c r="G633">
        <v>57.03</v>
      </c>
      <c r="H633">
        <v>57.03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57.03</v>
      </c>
      <c r="O633">
        <v>0</v>
      </c>
      <c r="P633">
        <v>0</v>
      </c>
      <c r="Q633">
        <v>0</v>
      </c>
      <c r="R633">
        <v>100</v>
      </c>
      <c r="S633">
        <v>0</v>
      </c>
      <c r="T633">
        <v>653.34</v>
      </c>
      <c r="U633">
        <v>0</v>
      </c>
    </row>
    <row r="634" spans="1:24" x14ac:dyDescent="0.25">
      <c r="A634" t="s">
        <v>89</v>
      </c>
      <c r="B634" t="s">
        <v>78</v>
      </c>
      <c r="C634" t="s">
        <v>35</v>
      </c>
      <c r="D634">
        <v>2011</v>
      </c>
      <c r="E634">
        <v>3132815</v>
      </c>
      <c r="F634">
        <v>201228682118</v>
      </c>
      <c r="G634">
        <v>57.46</v>
      </c>
      <c r="H634">
        <v>57.46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57.46</v>
      </c>
      <c r="O634">
        <v>0</v>
      </c>
      <c r="P634">
        <v>0</v>
      </c>
      <c r="Q634">
        <v>0</v>
      </c>
      <c r="R634">
        <v>100</v>
      </c>
      <c r="S634">
        <v>0</v>
      </c>
      <c r="T634">
        <v>652.63</v>
      </c>
      <c r="U634">
        <v>0</v>
      </c>
    </row>
    <row r="635" spans="1:24" x14ac:dyDescent="0.25">
      <c r="A635" t="s">
        <v>89</v>
      </c>
      <c r="B635" t="s">
        <v>78</v>
      </c>
      <c r="C635" t="s">
        <v>35</v>
      </c>
      <c r="D635">
        <v>2012</v>
      </c>
      <c r="E635">
        <v>3337025</v>
      </c>
      <c r="F635">
        <v>214560063974</v>
      </c>
      <c r="G635">
        <v>61.12</v>
      </c>
      <c r="H635">
        <v>61.12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61.12</v>
      </c>
      <c r="O635">
        <v>0</v>
      </c>
      <c r="P635">
        <v>0</v>
      </c>
      <c r="Q635">
        <v>0</v>
      </c>
      <c r="R635">
        <v>100</v>
      </c>
      <c r="S635">
        <v>0</v>
      </c>
      <c r="T635">
        <v>651.01</v>
      </c>
      <c r="U635">
        <v>0</v>
      </c>
    </row>
    <row r="636" spans="1:24" x14ac:dyDescent="0.25">
      <c r="A636" t="s">
        <v>89</v>
      </c>
      <c r="B636" t="s">
        <v>78</v>
      </c>
      <c r="C636" t="s">
        <v>35</v>
      </c>
      <c r="D636">
        <v>2013</v>
      </c>
      <c r="E636">
        <v>3507755</v>
      </c>
      <c r="F636">
        <v>217029672079</v>
      </c>
      <c r="G636">
        <v>60.99</v>
      </c>
      <c r="H636">
        <v>60.99</v>
      </c>
      <c r="I636">
        <v>0</v>
      </c>
      <c r="J636">
        <v>0.01</v>
      </c>
      <c r="K636">
        <v>0.01</v>
      </c>
      <c r="L636">
        <v>0</v>
      </c>
      <c r="M636">
        <v>0</v>
      </c>
      <c r="N636">
        <v>60.98</v>
      </c>
      <c r="O636">
        <v>0</v>
      </c>
      <c r="P636">
        <v>1.6E-2</v>
      </c>
      <c r="Q636">
        <v>1.6E-2</v>
      </c>
      <c r="R636">
        <v>99.983999999999995</v>
      </c>
      <c r="S636">
        <v>1.6E-2</v>
      </c>
      <c r="T636">
        <v>651.91</v>
      </c>
      <c r="U636">
        <v>0</v>
      </c>
    </row>
    <row r="637" spans="1:24" x14ac:dyDescent="0.25">
      <c r="A637" t="s">
        <v>89</v>
      </c>
      <c r="B637" t="s">
        <v>78</v>
      </c>
      <c r="C637" t="s">
        <v>35</v>
      </c>
      <c r="D637">
        <v>2014</v>
      </c>
      <c r="E637">
        <v>3665769</v>
      </c>
      <c r="F637">
        <v>218112639263</v>
      </c>
      <c r="G637">
        <v>65.150000000000006</v>
      </c>
      <c r="H637">
        <v>65.150000000000006</v>
      </c>
      <c r="I637">
        <v>0</v>
      </c>
      <c r="J637">
        <v>0.01</v>
      </c>
      <c r="K637">
        <v>0.01</v>
      </c>
      <c r="L637">
        <v>0</v>
      </c>
      <c r="M637">
        <v>0</v>
      </c>
      <c r="N637">
        <v>65.14</v>
      </c>
      <c r="O637">
        <v>0</v>
      </c>
      <c r="P637">
        <v>1.4999999999999999E-2</v>
      </c>
      <c r="Q637">
        <v>1.4999999999999999E-2</v>
      </c>
      <c r="R637">
        <v>99.984999999999999</v>
      </c>
      <c r="S637">
        <v>1.4999999999999999E-2</v>
      </c>
      <c r="T637">
        <v>650.96</v>
      </c>
      <c r="U637">
        <v>0</v>
      </c>
      <c r="W637">
        <v>0</v>
      </c>
      <c r="X637">
        <v>0</v>
      </c>
    </row>
    <row r="638" spans="1:24" x14ac:dyDescent="0.25">
      <c r="A638" t="s">
        <v>89</v>
      </c>
      <c r="B638" t="s">
        <v>78</v>
      </c>
      <c r="C638" t="s">
        <v>35</v>
      </c>
      <c r="D638">
        <v>2015</v>
      </c>
      <c r="E638">
        <v>3834465</v>
      </c>
      <c r="F638">
        <v>219406044434</v>
      </c>
      <c r="G638">
        <v>68.3</v>
      </c>
      <c r="H638">
        <v>68.3</v>
      </c>
      <c r="I638">
        <v>0</v>
      </c>
      <c r="J638">
        <v>0.01</v>
      </c>
      <c r="K638">
        <v>0.01</v>
      </c>
      <c r="L638">
        <v>0</v>
      </c>
      <c r="M638">
        <v>0</v>
      </c>
      <c r="N638">
        <v>68.290000000000006</v>
      </c>
      <c r="O638">
        <v>0</v>
      </c>
      <c r="P638">
        <v>1.4999999999999999E-2</v>
      </c>
      <c r="Q638">
        <v>1.4999999999999999E-2</v>
      </c>
      <c r="R638">
        <v>99.984999999999999</v>
      </c>
      <c r="S638">
        <v>1.4999999999999999E-2</v>
      </c>
      <c r="T638">
        <v>650.51</v>
      </c>
      <c r="U638">
        <v>0</v>
      </c>
      <c r="W638">
        <v>0</v>
      </c>
      <c r="X638">
        <v>0</v>
      </c>
    </row>
    <row r="639" spans="1:24" x14ac:dyDescent="0.25">
      <c r="A639" t="s">
        <v>89</v>
      </c>
      <c r="B639" t="s">
        <v>78</v>
      </c>
      <c r="C639" t="s">
        <v>35</v>
      </c>
      <c r="D639">
        <v>2016</v>
      </c>
      <c r="E639">
        <v>4003976</v>
      </c>
      <c r="F639">
        <v>225825859800</v>
      </c>
      <c r="G639">
        <v>70.099999999999994</v>
      </c>
      <c r="H639">
        <v>70.099999999999994</v>
      </c>
      <c r="I639">
        <v>0.01</v>
      </c>
      <c r="J639">
        <v>0.01</v>
      </c>
      <c r="K639">
        <v>0.02</v>
      </c>
      <c r="L639">
        <v>0</v>
      </c>
      <c r="M639">
        <v>0</v>
      </c>
      <c r="N639">
        <v>70.08</v>
      </c>
      <c r="O639">
        <v>1.4E-2</v>
      </c>
      <c r="P639">
        <v>1.4E-2</v>
      </c>
      <c r="Q639">
        <v>2.9000000000000001E-2</v>
      </c>
      <c r="R639">
        <v>99.971000000000004</v>
      </c>
      <c r="S639">
        <v>2.9000000000000001E-2</v>
      </c>
      <c r="T639">
        <v>650.07000000000005</v>
      </c>
      <c r="U639">
        <v>0.01</v>
      </c>
      <c r="W639">
        <v>0</v>
      </c>
      <c r="X639">
        <v>100</v>
      </c>
    </row>
    <row r="640" spans="1:24" x14ac:dyDescent="0.25">
      <c r="A640" t="s">
        <v>89</v>
      </c>
      <c r="B640" t="s">
        <v>78</v>
      </c>
      <c r="C640" t="s">
        <v>35</v>
      </c>
      <c r="D640">
        <v>2017</v>
      </c>
      <c r="E640">
        <v>4154686</v>
      </c>
      <c r="F640">
        <v>215180426540</v>
      </c>
      <c r="G640">
        <v>68.89</v>
      </c>
      <c r="H640">
        <v>68.89</v>
      </c>
      <c r="I640">
        <v>0.01</v>
      </c>
      <c r="J640">
        <v>0.03</v>
      </c>
      <c r="K640">
        <v>0.04</v>
      </c>
      <c r="L640">
        <v>0</v>
      </c>
      <c r="M640">
        <v>0</v>
      </c>
      <c r="N640">
        <v>68.849999999999994</v>
      </c>
      <c r="O640">
        <v>1.4999999999999999E-2</v>
      </c>
      <c r="P640">
        <v>4.3999999999999997E-2</v>
      </c>
      <c r="Q640">
        <v>5.8000000000000003E-2</v>
      </c>
      <c r="R640">
        <v>99.941999999999993</v>
      </c>
      <c r="S640">
        <v>5.8000000000000003E-2</v>
      </c>
      <c r="T640">
        <v>650.6</v>
      </c>
      <c r="U640">
        <v>0.02</v>
      </c>
      <c r="V640">
        <v>0</v>
      </c>
      <c r="W640">
        <v>200</v>
      </c>
      <c r="X640">
        <v>100</v>
      </c>
    </row>
    <row r="641" spans="1:25" x14ac:dyDescent="0.25">
      <c r="A641" t="s">
        <v>89</v>
      </c>
      <c r="B641" t="s">
        <v>78</v>
      </c>
      <c r="C641" t="s">
        <v>35</v>
      </c>
      <c r="D641">
        <v>2018</v>
      </c>
      <c r="E641">
        <v>4323389</v>
      </c>
      <c r="F641">
        <v>220424403170</v>
      </c>
      <c r="G641">
        <v>74.13</v>
      </c>
      <c r="H641">
        <v>74.13</v>
      </c>
      <c r="I641">
        <v>0.05</v>
      </c>
      <c r="J641">
        <v>0.04</v>
      </c>
      <c r="K641">
        <v>0.09</v>
      </c>
      <c r="L641">
        <v>0</v>
      </c>
      <c r="M641">
        <v>0</v>
      </c>
      <c r="N641">
        <v>74.040000000000006</v>
      </c>
      <c r="O641">
        <v>6.7000000000000004E-2</v>
      </c>
      <c r="P641">
        <v>5.3999999999999999E-2</v>
      </c>
      <c r="Q641">
        <v>0.121</v>
      </c>
      <c r="R641">
        <v>99.879000000000005</v>
      </c>
      <c r="S641">
        <v>0.121</v>
      </c>
      <c r="T641">
        <v>650.07000000000005</v>
      </c>
      <c r="U641">
        <v>0.04</v>
      </c>
      <c r="V641">
        <v>400</v>
      </c>
      <c r="W641">
        <v>33.299999999999997</v>
      </c>
      <c r="X641">
        <v>125</v>
      </c>
    </row>
    <row r="642" spans="1:25" x14ac:dyDescent="0.25">
      <c r="A642" t="s">
        <v>89</v>
      </c>
      <c r="B642" t="s">
        <v>78</v>
      </c>
      <c r="C642" t="s">
        <v>35</v>
      </c>
      <c r="D642">
        <v>2019</v>
      </c>
      <c r="E642">
        <v>4442201</v>
      </c>
      <c r="F642">
        <v>219207651814</v>
      </c>
      <c r="G642">
        <v>75.040000000000006</v>
      </c>
      <c r="H642">
        <v>75.040000000000006</v>
      </c>
      <c r="I642">
        <v>0.06</v>
      </c>
      <c r="J642">
        <v>0.04</v>
      </c>
      <c r="K642">
        <v>0.1</v>
      </c>
      <c r="L642">
        <v>0</v>
      </c>
      <c r="M642">
        <v>0</v>
      </c>
      <c r="N642">
        <v>74.94</v>
      </c>
      <c r="O642">
        <v>0.08</v>
      </c>
      <c r="P642">
        <v>5.2999999999999999E-2</v>
      </c>
      <c r="Q642">
        <v>0.13300000000000001</v>
      </c>
      <c r="R642">
        <v>99.867000000000004</v>
      </c>
      <c r="S642">
        <v>0.13300000000000001</v>
      </c>
      <c r="T642">
        <v>649.52</v>
      </c>
      <c r="U642">
        <v>0.04</v>
      </c>
      <c r="V642">
        <v>20</v>
      </c>
      <c r="W642">
        <v>0</v>
      </c>
      <c r="X642">
        <v>11.1</v>
      </c>
    </row>
    <row r="643" spans="1:25" x14ac:dyDescent="0.25">
      <c r="A643" t="s">
        <v>89</v>
      </c>
      <c r="B643" t="s">
        <v>78</v>
      </c>
      <c r="C643" t="s">
        <v>35</v>
      </c>
      <c r="D643">
        <v>2020</v>
      </c>
      <c r="E643">
        <v>4400146</v>
      </c>
      <c r="F643">
        <v>199796812404</v>
      </c>
      <c r="G643">
        <v>74.64</v>
      </c>
      <c r="H643">
        <v>74.64</v>
      </c>
      <c r="I643">
        <v>0.06</v>
      </c>
      <c r="J643">
        <v>0.03</v>
      </c>
      <c r="K643">
        <v>0.09</v>
      </c>
      <c r="L643">
        <v>0</v>
      </c>
      <c r="M643">
        <v>0</v>
      </c>
      <c r="N643">
        <v>74.55</v>
      </c>
      <c r="O643">
        <v>0.08</v>
      </c>
      <c r="P643">
        <v>0.04</v>
      </c>
      <c r="Q643">
        <v>0.121</v>
      </c>
      <c r="R643">
        <v>99.879000000000005</v>
      </c>
      <c r="S643">
        <v>0.121</v>
      </c>
      <c r="T643">
        <v>650.19000000000005</v>
      </c>
      <c r="U643">
        <v>0.04</v>
      </c>
      <c r="V643">
        <v>0</v>
      </c>
      <c r="W643">
        <v>-25</v>
      </c>
      <c r="X643">
        <v>-10</v>
      </c>
    </row>
    <row r="644" spans="1:25" x14ac:dyDescent="0.25">
      <c r="A644" t="s">
        <v>89</v>
      </c>
      <c r="B644" t="s">
        <v>78</v>
      </c>
      <c r="C644" t="s">
        <v>35</v>
      </c>
      <c r="D644">
        <v>2021</v>
      </c>
      <c r="E644">
        <v>4360748</v>
      </c>
      <c r="F644">
        <v>202410138854</v>
      </c>
      <c r="G644">
        <v>80.8</v>
      </c>
      <c r="H644">
        <v>80.8</v>
      </c>
      <c r="I644">
        <v>0.14000000000000001</v>
      </c>
      <c r="J644">
        <v>7.0000000000000007E-2</v>
      </c>
      <c r="K644">
        <v>0.21</v>
      </c>
      <c r="L644">
        <v>0</v>
      </c>
      <c r="M644">
        <v>0</v>
      </c>
      <c r="N644">
        <v>80.59</v>
      </c>
      <c r="O644">
        <v>0.17299999999999999</v>
      </c>
      <c r="P644">
        <v>8.6999999999999994E-2</v>
      </c>
      <c r="Q644">
        <v>0.26</v>
      </c>
      <c r="R644">
        <v>99.74</v>
      </c>
      <c r="S644">
        <v>0.26</v>
      </c>
      <c r="T644">
        <v>649.63</v>
      </c>
      <c r="U644">
        <v>0.09</v>
      </c>
      <c r="V644">
        <v>133.30000000000001</v>
      </c>
      <c r="W644">
        <v>133.30000000000001</v>
      </c>
      <c r="X644">
        <v>133.30000000000001</v>
      </c>
      <c r="Y644" t="s">
        <v>90</v>
      </c>
    </row>
    <row r="645" spans="1:25" x14ac:dyDescent="0.25">
      <c r="A645" t="s">
        <v>89</v>
      </c>
      <c r="B645" t="s">
        <v>78</v>
      </c>
      <c r="C645" t="s">
        <v>35</v>
      </c>
      <c r="D645">
        <v>2022</v>
      </c>
      <c r="E645">
        <v>4589514</v>
      </c>
      <c r="F645">
        <v>218961227193</v>
      </c>
      <c r="G645">
        <v>85.29</v>
      </c>
      <c r="H645">
        <v>85.29</v>
      </c>
      <c r="I645">
        <v>0.18</v>
      </c>
      <c r="J645">
        <v>1.72</v>
      </c>
      <c r="K645">
        <v>1.9</v>
      </c>
      <c r="L645">
        <v>0</v>
      </c>
      <c r="M645">
        <v>0</v>
      </c>
      <c r="N645">
        <v>83.39</v>
      </c>
      <c r="O645">
        <v>0.21099999999999999</v>
      </c>
      <c r="P645">
        <v>2.0169999999999999</v>
      </c>
      <c r="Q645">
        <v>2.2280000000000002</v>
      </c>
      <c r="R645">
        <v>97.772000000000006</v>
      </c>
      <c r="S645">
        <v>2.2280000000000002</v>
      </c>
      <c r="T645">
        <v>636.89</v>
      </c>
      <c r="U645">
        <v>0.86</v>
      </c>
      <c r="V645">
        <v>28.6</v>
      </c>
      <c r="W645">
        <v>2357.1</v>
      </c>
      <c r="X645">
        <v>804.8</v>
      </c>
    </row>
    <row r="646" spans="1:25" x14ac:dyDescent="0.25">
      <c r="A646" t="s">
        <v>89</v>
      </c>
      <c r="B646" t="s">
        <v>78</v>
      </c>
      <c r="C646" t="s">
        <v>35</v>
      </c>
      <c r="D646">
        <v>2023</v>
      </c>
      <c r="E646">
        <v>4838781</v>
      </c>
      <c r="G646">
        <v>89.76</v>
      </c>
      <c r="H646">
        <v>89.76</v>
      </c>
      <c r="I646">
        <v>0.19</v>
      </c>
      <c r="J646">
        <v>1.72</v>
      </c>
      <c r="K646">
        <v>1.91</v>
      </c>
      <c r="L646">
        <v>0</v>
      </c>
      <c r="M646">
        <v>0</v>
      </c>
      <c r="N646">
        <v>87.85</v>
      </c>
      <c r="O646">
        <v>0.21199999999999999</v>
      </c>
      <c r="P646">
        <v>1.9159999999999999</v>
      </c>
      <c r="Q646">
        <v>2.1280000000000001</v>
      </c>
      <c r="R646">
        <v>97.872</v>
      </c>
      <c r="S646">
        <v>2.1280000000000001</v>
      </c>
      <c r="T646">
        <v>636.14</v>
      </c>
      <c r="U646">
        <v>0.86</v>
      </c>
      <c r="V646">
        <v>5.6</v>
      </c>
      <c r="W646">
        <v>0</v>
      </c>
      <c r="X646">
        <v>0.5</v>
      </c>
    </row>
    <row r="647" spans="1:25" x14ac:dyDescent="0.25">
      <c r="A647" t="s">
        <v>89</v>
      </c>
      <c r="B647" t="s">
        <v>78</v>
      </c>
      <c r="C647" t="s">
        <v>35</v>
      </c>
      <c r="D647">
        <v>2024</v>
      </c>
      <c r="E647">
        <v>4934508</v>
      </c>
      <c r="G647">
        <v>92.49</v>
      </c>
      <c r="H647">
        <v>92.49</v>
      </c>
      <c r="I647">
        <v>0.21</v>
      </c>
      <c r="J647">
        <v>1.86</v>
      </c>
      <c r="K647">
        <v>2.0699999999999998</v>
      </c>
      <c r="L647">
        <v>0</v>
      </c>
      <c r="M647">
        <v>0</v>
      </c>
      <c r="N647">
        <v>90.42</v>
      </c>
      <c r="O647">
        <v>0.22700000000000001</v>
      </c>
      <c r="P647">
        <v>2.0110000000000001</v>
      </c>
      <c r="Q647">
        <v>2.238</v>
      </c>
      <c r="R647">
        <v>97.762</v>
      </c>
      <c r="S647">
        <v>2.238</v>
      </c>
      <c r="T647">
        <v>635.20000000000005</v>
      </c>
      <c r="U647">
        <v>0.93</v>
      </c>
      <c r="V647">
        <v>10.5</v>
      </c>
      <c r="W647">
        <v>8.1</v>
      </c>
      <c r="X647">
        <v>8.4</v>
      </c>
    </row>
    <row r="648" spans="1:25" x14ac:dyDescent="0.25">
      <c r="A648" t="s">
        <v>89</v>
      </c>
      <c r="B648" t="s">
        <v>78</v>
      </c>
      <c r="C648" t="s">
        <v>35</v>
      </c>
      <c r="D648">
        <v>2025</v>
      </c>
      <c r="E648">
        <v>5026079</v>
      </c>
      <c r="G648">
        <v>92.49</v>
      </c>
      <c r="H648">
        <v>92.49</v>
      </c>
      <c r="I648">
        <v>0.21</v>
      </c>
      <c r="J648">
        <v>1.86</v>
      </c>
      <c r="K648">
        <v>2.0699999999999998</v>
      </c>
      <c r="L648">
        <v>0</v>
      </c>
      <c r="M648">
        <v>0</v>
      </c>
      <c r="N648">
        <v>90.42</v>
      </c>
      <c r="O648">
        <v>0.22700000000000001</v>
      </c>
      <c r="P648">
        <v>2.0110000000000001</v>
      </c>
      <c r="Q648">
        <v>2.238</v>
      </c>
      <c r="R648">
        <v>97.762</v>
      </c>
      <c r="S648">
        <v>2.238</v>
      </c>
      <c r="T648">
        <v>635.30999999999995</v>
      </c>
      <c r="U648">
        <v>0.93</v>
      </c>
      <c r="V648">
        <v>0</v>
      </c>
      <c r="W648">
        <v>0</v>
      </c>
      <c r="X648">
        <v>0</v>
      </c>
    </row>
    <row r="649" spans="1:25" x14ac:dyDescent="0.25">
      <c r="A649" t="s">
        <v>91</v>
      </c>
      <c r="B649" t="s">
        <v>41</v>
      </c>
      <c r="C649" t="s">
        <v>31</v>
      </c>
      <c r="D649">
        <v>2000</v>
      </c>
      <c r="E649">
        <v>22967817</v>
      </c>
      <c r="F649">
        <v>305803211129</v>
      </c>
      <c r="G649">
        <v>69.900000000000006</v>
      </c>
      <c r="H649">
        <v>69.88</v>
      </c>
      <c r="I649">
        <v>0</v>
      </c>
      <c r="J649">
        <v>0</v>
      </c>
      <c r="K649">
        <v>7.56</v>
      </c>
      <c r="L649">
        <v>6.99</v>
      </c>
      <c r="M649">
        <v>0</v>
      </c>
      <c r="N649">
        <v>62.34</v>
      </c>
      <c r="O649">
        <v>0</v>
      </c>
      <c r="P649">
        <v>0</v>
      </c>
      <c r="Q649">
        <v>10.815</v>
      </c>
      <c r="R649">
        <v>89.185000000000002</v>
      </c>
      <c r="S649">
        <v>10.815</v>
      </c>
      <c r="T649">
        <v>581.83000000000004</v>
      </c>
      <c r="U649">
        <v>0</v>
      </c>
    </row>
    <row r="650" spans="1:25" x14ac:dyDescent="0.25">
      <c r="A650" t="s">
        <v>91</v>
      </c>
      <c r="B650" t="s">
        <v>41</v>
      </c>
      <c r="C650" t="s">
        <v>31</v>
      </c>
      <c r="D650">
        <v>2001</v>
      </c>
      <c r="E650">
        <v>23526535</v>
      </c>
      <c r="F650">
        <v>309934494308</v>
      </c>
      <c r="G650">
        <v>75.78</v>
      </c>
      <c r="H650">
        <v>75.69</v>
      </c>
      <c r="I650">
        <v>0</v>
      </c>
      <c r="J650">
        <v>0</v>
      </c>
      <c r="K650">
        <v>6.64</v>
      </c>
      <c r="L650">
        <v>6.07</v>
      </c>
      <c r="M650">
        <v>0</v>
      </c>
      <c r="N650">
        <v>69.14</v>
      </c>
      <c r="O650">
        <v>0</v>
      </c>
      <c r="P650">
        <v>0</v>
      </c>
      <c r="Q650">
        <v>8.7620000000000005</v>
      </c>
      <c r="R650">
        <v>91.238</v>
      </c>
      <c r="S650">
        <v>8.7620000000000005</v>
      </c>
      <c r="T650">
        <v>600.03</v>
      </c>
      <c r="U650">
        <v>0</v>
      </c>
      <c r="X650">
        <v>-12.2</v>
      </c>
    </row>
    <row r="651" spans="1:25" x14ac:dyDescent="0.25">
      <c r="A651" t="s">
        <v>91</v>
      </c>
      <c r="B651" t="s">
        <v>41</v>
      </c>
      <c r="C651" t="s">
        <v>31</v>
      </c>
      <c r="D651">
        <v>2002</v>
      </c>
      <c r="E651">
        <v>24102477</v>
      </c>
      <c r="F651">
        <v>329700338274</v>
      </c>
      <c r="G651">
        <v>80.87</v>
      </c>
      <c r="H651">
        <v>80.84</v>
      </c>
      <c r="I651">
        <v>0</v>
      </c>
      <c r="J651">
        <v>0</v>
      </c>
      <c r="K651">
        <v>5.81</v>
      </c>
      <c r="L651">
        <v>5.41</v>
      </c>
      <c r="M651">
        <v>0</v>
      </c>
      <c r="N651">
        <v>75.06</v>
      </c>
      <c r="O651">
        <v>0</v>
      </c>
      <c r="P651">
        <v>0</v>
      </c>
      <c r="Q651">
        <v>7.1840000000000002</v>
      </c>
      <c r="R651">
        <v>92.816000000000003</v>
      </c>
      <c r="S651">
        <v>7.1840000000000002</v>
      </c>
      <c r="T651">
        <v>618.28</v>
      </c>
      <c r="U651">
        <v>0</v>
      </c>
      <c r="X651">
        <v>-12.5</v>
      </c>
    </row>
    <row r="652" spans="1:25" x14ac:dyDescent="0.25">
      <c r="A652" t="s">
        <v>91</v>
      </c>
      <c r="B652" t="s">
        <v>41</v>
      </c>
      <c r="C652" t="s">
        <v>31</v>
      </c>
      <c r="D652">
        <v>2003</v>
      </c>
      <c r="E652">
        <v>24679604</v>
      </c>
      <c r="F652">
        <v>350966698067</v>
      </c>
      <c r="G652">
        <v>83.31</v>
      </c>
      <c r="H652">
        <v>83.11</v>
      </c>
      <c r="I652">
        <v>0</v>
      </c>
      <c r="J652">
        <v>0</v>
      </c>
      <c r="K652">
        <v>5.51</v>
      </c>
      <c r="L652">
        <v>5.09</v>
      </c>
      <c r="M652">
        <v>0</v>
      </c>
      <c r="N652">
        <v>77.8</v>
      </c>
      <c r="O652">
        <v>0</v>
      </c>
      <c r="P652">
        <v>0</v>
      </c>
      <c r="Q652">
        <v>6.6139999999999999</v>
      </c>
      <c r="R652">
        <v>93.385999999999996</v>
      </c>
      <c r="S652">
        <v>6.6139999999999999</v>
      </c>
      <c r="T652">
        <v>631.14</v>
      </c>
      <c r="U652">
        <v>0</v>
      </c>
      <c r="X652">
        <v>-5.2</v>
      </c>
    </row>
    <row r="653" spans="1:25" x14ac:dyDescent="0.25">
      <c r="A653" t="s">
        <v>91</v>
      </c>
      <c r="B653" t="s">
        <v>41</v>
      </c>
      <c r="C653" t="s">
        <v>31</v>
      </c>
      <c r="D653">
        <v>2004</v>
      </c>
      <c r="E653">
        <v>25256773</v>
      </c>
      <c r="F653">
        <v>377079435469</v>
      </c>
      <c r="G653">
        <v>96.06</v>
      </c>
      <c r="H653">
        <v>95.54</v>
      </c>
      <c r="I653">
        <v>0</v>
      </c>
      <c r="J653">
        <v>0</v>
      </c>
      <c r="K653">
        <v>6.15</v>
      </c>
      <c r="L653">
        <v>5.57</v>
      </c>
      <c r="M653">
        <v>0</v>
      </c>
      <c r="N653">
        <v>89.91</v>
      </c>
      <c r="O653">
        <v>0</v>
      </c>
      <c r="P653">
        <v>0</v>
      </c>
      <c r="Q653">
        <v>6.4020000000000001</v>
      </c>
      <c r="R653">
        <v>93.597999999999999</v>
      </c>
      <c r="S653">
        <v>6.4020000000000001</v>
      </c>
      <c r="T653">
        <v>649.79999999999995</v>
      </c>
      <c r="U653">
        <v>0</v>
      </c>
      <c r="X653">
        <v>11.6</v>
      </c>
    </row>
    <row r="654" spans="1:25" x14ac:dyDescent="0.25">
      <c r="A654" t="s">
        <v>91</v>
      </c>
      <c r="B654" t="s">
        <v>41</v>
      </c>
      <c r="C654" t="s">
        <v>31</v>
      </c>
      <c r="D654">
        <v>2005</v>
      </c>
      <c r="E654">
        <v>25836075</v>
      </c>
      <c r="F654">
        <v>399781035415</v>
      </c>
      <c r="G654">
        <v>98.75</v>
      </c>
      <c r="H654">
        <v>96.52</v>
      </c>
      <c r="I654">
        <v>0</v>
      </c>
      <c r="J654">
        <v>0</v>
      </c>
      <c r="K654">
        <v>6.6</v>
      </c>
      <c r="L654">
        <v>6.01</v>
      </c>
      <c r="M654">
        <v>0</v>
      </c>
      <c r="N654">
        <v>92.15</v>
      </c>
      <c r="O654">
        <v>0</v>
      </c>
      <c r="P654">
        <v>0</v>
      </c>
      <c r="Q654">
        <v>6.6840000000000002</v>
      </c>
      <c r="R654">
        <v>93.316000000000003</v>
      </c>
      <c r="S654">
        <v>6.6840000000000002</v>
      </c>
      <c r="T654">
        <v>652.46</v>
      </c>
      <c r="U654">
        <v>0</v>
      </c>
      <c r="X654">
        <v>7.3</v>
      </c>
    </row>
    <row r="655" spans="1:25" x14ac:dyDescent="0.25">
      <c r="A655" t="s">
        <v>91</v>
      </c>
      <c r="B655" t="s">
        <v>41</v>
      </c>
      <c r="C655" t="s">
        <v>31</v>
      </c>
      <c r="D655">
        <v>2006</v>
      </c>
      <c r="E655">
        <v>26417909</v>
      </c>
      <c r="F655">
        <v>426608936099</v>
      </c>
      <c r="G655">
        <v>103.99</v>
      </c>
      <c r="H655">
        <v>101.67</v>
      </c>
      <c r="I655">
        <v>0</v>
      </c>
      <c r="J655">
        <v>0</v>
      </c>
      <c r="K655">
        <v>6.94</v>
      </c>
      <c r="L655">
        <v>6.32</v>
      </c>
      <c r="M655">
        <v>0</v>
      </c>
      <c r="N655">
        <v>97.05</v>
      </c>
      <c r="O655">
        <v>0</v>
      </c>
      <c r="P655">
        <v>0</v>
      </c>
      <c r="Q655">
        <v>6.6740000000000004</v>
      </c>
      <c r="R655">
        <v>93.325999999999993</v>
      </c>
      <c r="S655">
        <v>6.6740000000000004</v>
      </c>
      <c r="T655">
        <v>652.66</v>
      </c>
      <c r="U655">
        <v>0</v>
      </c>
      <c r="X655">
        <v>5.2</v>
      </c>
    </row>
    <row r="656" spans="1:25" x14ac:dyDescent="0.25">
      <c r="A656" t="s">
        <v>91</v>
      </c>
      <c r="B656" t="s">
        <v>41</v>
      </c>
      <c r="C656" t="s">
        <v>31</v>
      </c>
      <c r="D656">
        <v>2007</v>
      </c>
      <c r="E656">
        <v>26998383</v>
      </c>
      <c r="F656">
        <v>458125848157</v>
      </c>
      <c r="G656">
        <v>108.55</v>
      </c>
      <c r="H656">
        <v>106.29</v>
      </c>
      <c r="I656">
        <v>0</v>
      </c>
      <c r="J656">
        <v>0</v>
      </c>
      <c r="K656">
        <v>6.72</v>
      </c>
      <c r="L656">
        <v>5.96</v>
      </c>
      <c r="M656">
        <v>0</v>
      </c>
      <c r="N656">
        <v>101.83</v>
      </c>
      <c r="O656">
        <v>0</v>
      </c>
      <c r="P656">
        <v>0</v>
      </c>
      <c r="Q656">
        <v>6.1909999999999998</v>
      </c>
      <c r="R656">
        <v>93.808999999999997</v>
      </c>
      <c r="S656">
        <v>6.1909999999999998</v>
      </c>
      <c r="T656">
        <v>662.28</v>
      </c>
      <c r="U656">
        <v>0</v>
      </c>
      <c r="X656">
        <v>-3.2</v>
      </c>
    </row>
    <row r="657" spans="1:25" x14ac:dyDescent="0.25">
      <c r="A657" t="s">
        <v>91</v>
      </c>
      <c r="B657" t="s">
        <v>41</v>
      </c>
      <c r="C657" t="s">
        <v>31</v>
      </c>
      <c r="D657">
        <v>2008</v>
      </c>
      <c r="E657">
        <v>27570052</v>
      </c>
      <c r="F657">
        <v>485245105845</v>
      </c>
      <c r="G657">
        <v>113.83</v>
      </c>
      <c r="H657">
        <v>113.35</v>
      </c>
      <c r="I657">
        <v>0</v>
      </c>
      <c r="J657">
        <v>0</v>
      </c>
      <c r="K657">
        <v>8.61</v>
      </c>
      <c r="L657">
        <v>7.81</v>
      </c>
      <c r="M657">
        <v>0</v>
      </c>
      <c r="N657">
        <v>105.22</v>
      </c>
      <c r="O657">
        <v>0</v>
      </c>
      <c r="P657">
        <v>0</v>
      </c>
      <c r="Q657">
        <v>7.5640000000000001</v>
      </c>
      <c r="R657">
        <v>92.436000000000007</v>
      </c>
      <c r="S657">
        <v>7.5640000000000001</v>
      </c>
      <c r="T657">
        <v>651.05999999999995</v>
      </c>
      <c r="U657">
        <v>0</v>
      </c>
      <c r="X657">
        <v>28.1</v>
      </c>
    </row>
    <row r="658" spans="1:25" x14ac:dyDescent="0.25">
      <c r="A658" t="s">
        <v>91</v>
      </c>
      <c r="B658" t="s">
        <v>41</v>
      </c>
      <c r="C658" t="s">
        <v>31</v>
      </c>
      <c r="D658">
        <v>2009</v>
      </c>
      <c r="E658">
        <v>28124779</v>
      </c>
      <c r="F658">
        <v>483081319364</v>
      </c>
      <c r="G658">
        <v>116.11</v>
      </c>
      <c r="H658">
        <v>116.02</v>
      </c>
      <c r="I658">
        <v>0</v>
      </c>
      <c r="J658">
        <v>0</v>
      </c>
      <c r="K658">
        <v>8.2799999999999994</v>
      </c>
      <c r="L658">
        <v>6.89</v>
      </c>
      <c r="M658">
        <v>0</v>
      </c>
      <c r="N658">
        <v>107.83</v>
      </c>
      <c r="O658">
        <v>0</v>
      </c>
      <c r="P658">
        <v>0</v>
      </c>
      <c r="Q658">
        <v>7.1310000000000002</v>
      </c>
      <c r="R658">
        <v>92.869</v>
      </c>
      <c r="S658">
        <v>7.1310000000000002</v>
      </c>
      <c r="T658">
        <v>666.61</v>
      </c>
      <c r="U658">
        <v>0</v>
      </c>
      <c r="X658">
        <v>-3.8</v>
      </c>
    </row>
    <row r="659" spans="1:25" x14ac:dyDescent="0.25">
      <c r="A659" t="s">
        <v>91</v>
      </c>
      <c r="B659" t="s">
        <v>41</v>
      </c>
      <c r="C659" t="s">
        <v>31</v>
      </c>
      <c r="D659">
        <v>2010</v>
      </c>
      <c r="E659">
        <v>28655772</v>
      </c>
      <c r="F659">
        <v>525056610488</v>
      </c>
      <c r="G659">
        <v>125.04</v>
      </c>
      <c r="H659">
        <v>124.89</v>
      </c>
      <c r="I659">
        <v>0</v>
      </c>
      <c r="J659">
        <v>0</v>
      </c>
      <c r="K659">
        <v>7.62</v>
      </c>
      <c r="L659">
        <v>6.36</v>
      </c>
      <c r="M659">
        <v>0</v>
      </c>
      <c r="N659">
        <v>117.42</v>
      </c>
      <c r="O659">
        <v>0</v>
      </c>
      <c r="P659">
        <v>0</v>
      </c>
      <c r="Q659">
        <v>6.0940000000000003</v>
      </c>
      <c r="R659">
        <v>93.906000000000006</v>
      </c>
      <c r="S659">
        <v>6.0940000000000003</v>
      </c>
      <c r="T659">
        <v>688.98</v>
      </c>
      <c r="U659">
        <v>0</v>
      </c>
      <c r="X659">
        <v>-8</v>
      </c>
    </row>
    <row r="660" spans="1:25" x14ac:dyDescent="0.25">
      <c r="A660" t="s">
        <v>91</v>
      </c>
      <c r="B660" t="s">
        <v>41</v>
      </c>
      <c r="C660" t="s">
        <v>31</v>
      </c>
      <c r="D660">
        <v>2011</v>
      </c>
      <c r="E660">
        <v>29162034</v>
      </c>
      <c r="F660">
        <v>557469657636</v>
      </c>
      <c r="G660">
        <v>127.07</v>
      </c>
      <c r="H660">
        <v>127.43</v>
      </c>
      <c r="I660">
        <v>0</v>
      </c>
      <c r="J660">
        <v>0</v>
      </c>
      <c r="K660">
        <v>9.6</v>
      </c>
      <c r="L660">
        <v>8.06</v>
      </c>
      <c r="M660">
        <v>0</v>
      </c>
      <c r="N660">
        <v>117.47</v>
      </c>
      <c r="O660">
        <v>0</v>
      </c>
      <c r="P660">
        <v>0</v>
      </c>
      <c r="Q660">
        <v>7.5549999999999997</v>
      </c>
      <c r="R660">
        <v>92.444999999999993</v>
      </c>
      <c r="S660">
        <v>7.5549999999999997</v>
      </c>
      <c r="T660">
        <v>685.69</v>
      </c>
      <c r="U660">
        <v>0</v>
      </c>
      <c r="X660">
        <v>26</v>
      </c>
    </row>
    <row r="661" spans="1:25" x14ac:dyDescent="0.25">
      <c r="A661" t="s">
        <v>91</v>
      </c>
      <c r="B661" t="s">
        <v>41</v>
      </c>
      <c r="C661" t="s">
        <v>31</v>
      </c>
      <c r="D661">
        <v>2012</v>
      </c>
      <c r="E661">
        <v>29662835</v>
      </c>
      <c r="F661">
        <v>587985572583</v>
      </c>
      <c r="G661">
        <v>134.08000000000001</v>
      </c>
      <c r="H661">
        <v>134.16999999999999</v>
      </c>
      <c r="I661">
        <v>0.01</v>
      </c>
      <c r="J661">
        <v>0</v>
      </c>
      <c r="K661">
        <v>10.76</v>
      </c>
      <c r="L661">
        <v>9.25</v>
      </c>
      <c r="M661">
        <v>0</v>
      </c>
      <c r="N661">
        <v>123.32</v>
      </c>
      <c r="O661">
        <v>7.0000000000000001E-3</v>
      </c>
      <c r="P661">
        <v>0</v>
      </c>
      <c r="Q661">
        <v>8.0250000000000004</v>
      </c>
      <c r="R661">
        <v>91.974999999999994</v>
      </c>
      <c r="S661">
        <v>8.0250000000000004</v>
      </c>
      <c r="T661">
        <v>682.73</v>
      </c>
      <c r="U661">
        <v>0</v>
      </c>
      <c r="X661">
        <v>12.1</v>
      </c>
    </row>
    <row r="662" spans="1:25" x14ac:dyDescent="0.25">
      <c r="A662" t="s">
        <v>91</v>
      </c>
      <c r="B662" t="s">
        <v>41</v>
      </c>
      <c r="C662" t="s">
        <v>31</v>
      </c>
      <c r="D662">
        <v>2013</v>
      </c>
      <c r="E662">
        <v>30174269</v>
      </c>
      <c r="F662">
        <v>615585637854</v>
      </c>
      <c r="G662">
        <v>140.97</v>
      </c>
      <c r="H662">
        <v>141.16</v>
      </c>
      <c r="I662">
        <v>0.14000000000000001</v>
      </c>
      <c r="J662">
        <v>0</v>
      </c>
      <c r="K662">
        <v>13.04</v>
      </c>
      <c r="L662">
        <v>11.8</v>
      </c>
      <c r="M662">
        <v>0</v>
      </c>
      <c r="N662">
        <v>127.93</v>
      </c>
      <c r="O662">
        <v>9.9000000000000005E-2</v>
      </c>
      <c r="P662">
        <v>0</v>
      </c>
      <c r="Q662">
        <v>9.25</v>
      </c>
      <c r="R662">
        <v>90.75</v>
      </c>
      <c r="S662">
        <v>9.25</v>
      </c>
      <c r="T662">
        <v>666.03</v>
      </c>
      <c r="U662">
        <v>0.06</v>
      </c>
      <c r="V662">
        <v>1300</v>
      </c>
      <c r="X662">
        <v>21.2</v>
      </c>
    </row>
    <row r="663" spans="1:25" x14ac:dyDescent="0.25">
      <c r="A663" t="s">
        <v>91</v>
      </c>
      <c r="B663" t="s">
        <v>41</v>
      </c>
      <c r="C663" t="s">
        <v>31</v>
      </c>
      <c r="D663">
        <v>2014</v>
      </c>
      <c r="E663">
        <v>30696133</v>
      </c>
      <c r="F663">
        <v>652563833807</v>
      </c>
      <c r="G663">
        <v>147.47</v>
      </c>
      <c r="H663">
        <v>147.47999999999999</v>
      </c>
      <c r="I663">
        <v>0.23</v>
      </c>
      <c r="J663">
        <v>0</v>
      </c>
      <c r="K663">
        <v>14.31</v>
      </c>
      <c r="L663">
        <v>13.39</v>
      </c>
      <c r="M663">
        <v>0</v>
      </c>
      <c r="N663">
        <v>133.16</v>
      </c>
      <c r="O663">
        <v>0.156</v>
      </c>
      <c r="P663">
        <v>0</v>
      </c>
      <c r="Q663">
        <v>9.7040000000000006</v>
      </c>
      <c r="R663">
        <v>90.296000000000006</v>
      </c>
      <c r="S663">
        <v>9.7040000000000006</v>
      </c>
      <c r="T663">
        <v>662.3</v>
      </c>
      <c r="U663">
        <v>0.1</v>
      </c>
      <c r="V663">
        <v>64.3</v>
      </c>
      <c r="X663">
        <v>9.6999999999999993</v>
      </c>
    </row>
    <row r="664" spans="1:25" x14ac:dyDescent="0.25">
      <c r="A664" t="s">
        <v>91</v>
      </c>
      <c r="B664" t="s">
        <v>41</v>
      </c>
      <c r="C664" t="s">
        <v>31</v>
      </c>
      <c r="D664">
        <v>2015</v>
      </c>
      <c r="E664">
        <v>31232796</v>
      </c>
      <c r="F664">
        <v>685237676618</v>
      </c>
      <c r="G664">
        <v>150.11000000000001</v>
      </c>
      <c r="H664">
        <v>150.12</v>
      </c>
      <c r="I664">
        <v>0.27</v>
      </c>
      <c r="J664">
        <v>0</v>
      </c>
      <c r="K664">
        <v>14.94</v>
      </c>
      <c r="L664">
        <v>13.92</v>
      </c>
      <c r="M664">
        <v>0</v>
      </c>
      <c r="N664">
        <v>135.16999999999999</v>
      </c>
      <c r="O664">
        <v>0.18</v>
      </c>
      <c r="P664">
        <v>0</v>
      </c>
      <c r="Q664">
        <v>9.9529999999999994</v>
      </c>
      <c r="R664">
        <v>90.046999999999997</v>
      </c>
      <c r="S664">
        <v>9.9529999999999994</v>
      </c>
      <c r="T664">
        <v>669.18</v>
      </c>
      <c r="U664">
        <v>0.12</v>
      </c>
      <c r="V664">
        <v>17.399999999999999</v>
      </c>
      <c r="X664">
        <v>4.4000000000000004</v>
      </c>
    </row>
    <row r="665" spans="1:25" x14ac:dyDescent="0.25">
      <c r="A665" t="s">
        <v>91</v>
      </c>
      <c r="B665" t="s">
        <v>41</v>
      </c>
      <c r="C665" t="s">
        <v>31</v>
      </c>
      <c r="D665">
        <v>2016</v>
      </c>
      <c r="E665">
        <v>31789692</v>
      </c>
      <c r="F665">
        <v>715730748101</v>
      </c>
      <c r="G665">
        <v>156.65</v>
      </c>
      <c r="H665">
        <v>155.99</v>
      </c>
      <c r="I665">
        <v>0.31</v>
      </c>
      <c r="J665">
        <v>0</v>
      </c>
      <c r="K665">
        <v>21.09</v>
      </c>
      <c r="L665">
        <v>20.02</v>
      </c>
      <c r="M665">
        <v>0</v>
      </c>
      <c r="N665">
        <v>135.56</v>
      </c>
      <c r="O665">
        <v>0.19800000000000001</v>
      </c>
      <c r="P665">
        <v>0</v>
      </c>
      <c r="Q665">
        <v>13.462999999999999</v>
      </c>
      <c r="R665">
        <v>86.537000000000006</v>
      </c>
      <c r="S665">
        <v>13.462999999999999</v>
      </c>
      <c r="T665">
        <v>649.28</v>
      </c>
      <c r="U665">
        <v>0.14000000000000001</v>
      </c>
      <c r="V665">
        <v>14.8</v>
      </c>
      <c r="X665">
        <v>41.2</v>
      </c>
    </row>
    <row r="666" spans="1:25" x14ac:dyDescent="0.25">
      <c r="A666" t="s">
        <v>91</v>
      </c>
      <c r="B666" t="s">
        <v>41</v>
      </c>
      <c r="C666" t="s">
        <v>31</v>
      </c>
      <c r="D666">
        <v>2017</v>
      </c>
      <c r="E666">
        <v>32355642</v>
      </c>
      <c r="F666">
        <v>757336192678</v>
      </c>
      <c r="G666">
        <v>160.63999999999999</v>
      </c>
      <c r="H666">
        <v>159.52000000000001</v>
      </c>
      <c r="I666">
        <v>0.33</v>
      </c>
      <c r="J666">
        <v>0</v>
      </c>
      <c r="K666">
        <v>27.94</v>
      </c>
      <c r="L666">
        <v>26.85</v>
      </c>
      <c r="M666">
        <v>0</v>
      </c>
      <c r="N666">
        <v>132.69999999999999</v>
      </c>
      <c r="O666">
        <v>0.20499999999999999</v>
      </c>
      <c r="P666">
        <v>0</v>
      </c>
      <c r="Q666">
        <v>17.393000000000001</v>
      </c>
      <c r="R666">
        <v>82.606999999999999</v>
      </c>
      <c r="S666">
        <v>17.393000000000001</v>
      </c>
      <c r="T666">
        <v>620.58000000000004</v>
      </c>
      <c r="U666">
        <v>0.15</v>
      </c>
      <c r="V666">
        <v>6.5</v>
      </c>
      <c r="X666">
        <v>32.5</v>
      </c>
    </row>
    <row r="667" spans="1:25" x14ac:dyDescent="0.25">
      <c r="A667" t="s">
        <v>91</v>
      </c>
      <c r="B667" t="s">
        <v>41</v>
      </c>
      <c r="C667" t="s">
        <v>31</v>
      </c>
      <c r="D667">
        <v>2018</v>
      </c>
      <c r="E667">
        <v>32910963</v>
      </c>
      <c r="F667">
        <v>794013962862</v>
      </c>
      <c r="G667">
        <v>170.58</v>
      </c>
      <c r="H667">
        <v>169.09</v>
      </c>
      <c r="I667">
        <v>0.63</v>
      </c>
      <c r="J667">
        <v>0</v>
      </c>
      <c r="K667">
        <v>28.31</v>
      </c>
      <c r="L667">
        <v>26.33</v>
      </c>
      <c r="M667">
        <v>0</v>
      </c>
      <c r="N667">
        <v>142.27000000000001</v>
      </c>
      <c r="O667">
        <v>0.36899999999999999</v>
      </c>
      <c r="P667">
        <v>0</v>
      </c>
      <c r="Q667">
        <v>16.596</v>
      </c>
      <c r="R667">
        <v>83.403999999999996</v>
      </c>
      <c r="S667">
        <v>16.596</v>
      </c>
      <c r="T667">
        <v>630.32000000000005</v>
      </c>
      <c r="U667">
        <v>0.28000000000000003</v>
      </c>
      <c r="V667">
        <v>90.9</v>
      </c>
      <c r="X667">
        <v>1.3</v>
      </c>
    </row>
    <row r="668" spans="1:25" x14ac:dyDescent="0.25">
      <c r="A668" t="s">
        <v>91</v>
      </c>
      <c r="B668" t="s">
        <v>41</v>
      </c>
      <c r="C668" t="s">
        <v>31</v>
      </c>
      <c r="D668">
        <v>2019</v>
      </c>
      <c r="E668">
        <v>33440590</v>
      </c>
      <c r="F668">
        <v>829053844392</v>
      </c>
      <c r="G668">
        <v>178.5</v>
      </c>
      <c r="H668">
        <v>176.84</v>
      </c>
      <c r="I668">
        <v>1.46</v>
      </c>
      <c r="J668">
        <v>0</v>
      </c>
      <c r="K668">
        <v>28.8</v>
      </c>
      <c r="L668">
        <v>26.2</v>
      </c>
      <c r="M668">
        <v>0</v>
      </c>
      <c r="N668">
        <v>149.69999999999999</v>
      </c>
      <c r="O668">
        <v>0.81799999999999995</v>
      </c>
      <c r="P668">
        <v>0</v>
      </c>
      <c r="Q668">
        <v>16.134</v>
      </c>
      <c r="R668">
        <v>83.866</v>
      </c>
      <c r="S668">
        <v>16.134</v>
      </c>
      <c r="T668">
        <v>626.04999999999995</v>
      </c>
      <c r="U668">
        <v>0.66</v>
      </c>
      <c r="V668">
        <v>131.69999999999999</v>
      </c>
      <c r="X668">
        <v>1.7</v>
      </c>
    </row>
    <row r="669" spans="1:25" x14ac:dyDescent="0.25">
      <c r="A669" t="s">
        <v>91</v>
      </c>
      <c r="B669" t="s">
        <v>41</v>
      </c>
      <c r="C669" t="s">
        <v>31</v>
      </c>
      <c r="D669">
        <v>2020</v>
      </c>
      <c r="E669">
        <v>33889554</v>
      </c>
      <c r="F669">
        <v>783174020832</v>
      </c>
      <c r="G669">
        <v>174.01</v>
      </c>
      <c r="H669">
        <v>172.46</v>
      </c>
      <c r="I669">
        <v>2.06</v>
      </c>
      <c r="J669">
        <v>0</v>
      </c>
      <c r="K669">
        <v>30.59</v>
      </c>
      <c r="L669">
        <v>27.3</v>
      </c>
      <c r="M669">
        <v>0</v>
      </c>
      <c r="N669">
        <v>143.41999999999999</v>
      </c>
      <c r="O669">
        <v>1.1839999999999999</v>
      </c>
      <c r="P669">
        <v>0</v>
      </c>
      <c r="Q669">
        <v>17.579000000000001</v>
      </c>
      <c r="R669">
        <v>82.421000000000006</v>
      </c>
      <c r="S669">
        <v>17.579000000000001</v>
      </c>
      <c r="T669">
        <v>633.70000000000005</v>
      </c>
      <c r="U669">
        <v>0.93</v>
      </c>
      <c r="V669">
        <v>41.1</v>
      </c>
      <c r="X669">
        <v>6.2</v>
      </c>
    </row>
    <row r="670" spans="1:25" x14ac:dyDescent="0.25">
      <c r="A670" t="s">
        <v>91</v>
      </c>
      <c r="B670" t="s">
        <v>41</v>
      </c>
      <c r="C670" t="s">
        <v>31</v>
      </c>
      <c r="D670">
        <v>2021</v>
      </c>
      <c r="E670">
        <v>34282404</v>
      </c>
      <c r="F670">
        <v>807389756202</v>
      </c>
      <c r="G670">
        <v>175.21</v>
      </c>
      <c r="H670">
        <v>174.27</v>
      </c>
      <c r="I670">
        <v>2.2999999999999998</v>
      </c>
      <c r="J670">
        <v>0</v>
      </c>
      <c r="K670">
        <v>33.729999999999997</v>
      </c>
      <c r="L670">
        <v>30.2</v>
      </c>
      <c r="M670">
        <v>0</v>
      </c>
      <c r="N670">
        <v>141.47999999999999</v>
      </c>
      <c r="O670">
        <v>1.3129999999999999</v>
      </c>
      <c r="P670">
        <v>0</v>
      </c>
      <c r="Q670">
        <v>19.251000000000001</v>
      </c>
      <c r="R670">
        <v>80.748999999999995</v>
      </c>
      <c r="S670">
        <v>19.251000000000001</v>
      </c>
      <c r="T670">
        <v>611.44000000000005</v>
      </c>
      <c r="U670">
        <v>1.03</v>
      </c>
      <c r="V670">
        <v>11.7</v>
      </c>
      <c r="X670">
        <v>10.3</v>
      </c>
      <c r="Y670" t="s">
        <v>92</v>
      </c>
    </row>
    <row r="671" spans="1:25" x14ac:dyDescent="0.25">
      <c r="A671" t="s">
        <v>91</v>
      </c>
      <c r="B671" t="s">
        <v>41</v>
      </c>
      <c r="C671" t="s">
        <v>31</v>
      </c>
      <c r="D671">
        <v>2022</v>
      </c>
      <c r="E671">
        <v>34695494</v>
      </c>
      <c r="F671">
        <v>877584198429</v>
      </c>
      <c r="G671">
        <v>183.63</v>
      </c>
      <c r="H671">
        <v>182.25</v>
      </c>
      <c r="I671">
        <v>2.75</v>
      </c>
      <c r="J671">
        <v>0</v>
      </c>
      <c r="K671">
        <v>35.76</v>
      </c>
      <c r="L671">
        <v>31.78</v>
      </c>
      <c r="M671">
        <v>0</v>
      </c>
      <c r="N671">
        <v>147.87</v>
      </c>
      <c r="O671">
        <v>1.498</v>
      </c>
      <c r="P671">
        <v>0</v>
      </c>
      <c r="Q671">
        <v>19.474</v>
      </c>
      <c r="R671">
        <v>80.525999999999996</v>
      </c>
      <c r="S671">
        <v>19.474</v>
      </c>
      <c r="T671">
        <v>604.04</v>
      </c>
      <c r="U671">
        <v>1.24</v>
      </c>
      <c r="V671">
        <v>19.600000000000001</v>
      </c>
      <c r="X671">
        <v>6</v>
      </c>
    </row>
    <row r="672" spans="1:25" x14ac:dyDescent="0.25">
      <c r="A672" t="s">
        <v>91</v>
      </c>
      <c r="B672" t="s">
        <v>41</v>
      </c>
      <c r="C672" t="s">
        <v>31</v>
      </c>
      <c r="D672">
        <v>2023</v>
      </c>
      <c r="E672">
        <v>35126295</v>
      </c>
      <c r="G672">
        <v>187.8</v>
      </c>
      <c r="H672">
        <v>186.7</v>
      </c>
      <c r="I672">
        <v>3.24</v>
      </c>
      <c r="J672">
        <v>0</v>
      </c>
      <c r="K672">
        <v>35.979999999999997</v>
      </c>
      <c r="L672">
        <v>31.51</v>
      </c>
      <c r="M672">
        <v>0</v>
      </c>
      <c r="N672">
        <v>151.82</v>
      </c>
      <c r="O672">
        <v>1.7250000000000001</v>
      </c>
      <c r="P672">
        <v>0</v>
      </c>
      <c r="Q672">
        <v>19.158999999999999</v>
      </c>
      <c r="R672">
        <v>80.840999999999994</v>
      </c>
      <c r="S672">
        <v>19.158999999999999</v>
      </c>
      <c r="T672">
        <v>607.88</v>
      </c>
      <c r="U672">
        <v>1.46</v>
      </c>
      <c r="V672">
        <v>17.8</v>
      </c>
      <c r="X672">
        <v>0.6</v>
      </c>
    </row>
    <row r="673" spans="1:24" x14ac:dyDescent="0.25">
      <c r="A673" t="s">
        <v>91</v>
      </c>
      <c r="B673" t="s">
        <v>41</v>
      </c>
      <c r="C673" t="s">
        <v>31</v>
      </c>
      <c r="D673">
        <v>2024</v>
      </c>
      <c r="E673">
        <v>35557670</v>
      </c>
      <c r="G673">
        <v>198.12</v>
      </c>
      <c r="H673">
        <v>197.04</v>
      </c>
      <c r="I673">
        <v>4.12</v>
      </c>
      <c r="J673">
        <v>0</v>
      </c>
      <c r="K673">
        <v>40.35</v>
      </c>
      <c r="L673">
        <v>34.520000000000003</v>
      </c>
      <c r="M673">
        <v>0</v>
      </c>
      <c r="N673">
        <v>157.77000000000001</v>
      </c>
      <c r="O673">
        <v>2.08</v>
      </c>
      <c r="P673">
        <v>0</v>
      </c>
      <c r="Q673">
        <v>20.366</v>
      </c>
      <c r="R673">
        <v>79.634</v>
      </c>
      <c r="S673">
        <v>20.366</v>
      </c>
      <c r="T673">
        <v>600.44000000000005</v>
      </c>
      <c r="U673">
        <v>1.85</v>
      </c>
      <c r="V673">
        <v>27.2</v>
      </c>
      <c r="X673">
        <v>12.1</v>
      </c>
    </row>
    <row r="674" spans="1:24" x14ac:dyDescent="0.25">
      <c r="A674" t="s">
        <v>91</v>
      </c>
      <c r="B674" t="s">
        <v>41</v>
      </c>
      <c r="C674" t="s">
        <v>31</v>
      </c>
      <c r="D674">
        <v>2025</v>
      </c>
      <c r="E674">
        <v>35977834</v>
      </c>
      <c r="G674">
        <v>201.09</v>
      </c>
      <c r="H674">
        <v>199.91</v>
      </c>
      <c r="I674">
        <v>4.51</v>
      </c>
      <c r="J674">
        <v>0</v>
      </c>
      <c r="K674">
        <v>41.53</v>
      </c>
      <c r="L674">
        <v>35.24</v>
      </c>
      <c r="N674">
        <v>159.56</v>
      </c>
      <c r="O674">
        <v>2.2429999999999999</v>
      </c>
      <c r="P674">
        <v>0</v>
      </c>
      <c r="Q674">
        <v>20.652000000000001</v>
      </c>
      <c r="R674">
        <v>79.347999999999999</v>
      </c>
      <c r="S674">
        <v>20.652000000000001</v>
      </c>
      <c r="T674">
        <v>601.97</v>
      </c>
      <c r="U674">
        <v>2.0299999999999998</v>
      </c>
      <c r="V674">
        <v>9.5</v>
      </c>
      <c r="X674">
        <v>2.9</v>
      </c>
    </row>
    <row r="675" spans="1:24" x14ac:dyDescent="0.25">
      <c r="A675" t="s">
        <v>93</v>
      </c>
      <c r="B675" t="s">
        <v>48</v>
      </c>
      <c r="C675" t="s">
        <v>31</v>
      </c>
      <c r="D675">
        <v>2000</v>
      </c>
      <c r="E675">
        <v>98625553</v>
      </c>
      <c r="F675">
        <v>1241194674661</v>
      </c>
      <c r="G675">
        <v>203.62</v>
      </c>
      <c r="H675">
        <v>204.49</v>
      </c>
      <c r="I675">
        <v>0.01</v>
      </c>
      <c r="J675">
        <v>0.02</v>
      </c>
      <c r="K675">
        <v>39.46</v>
      </c>
      <c r="L675">
        <v>33.07</v>
      </c>
      <c r="M675">
        <v>8.2200000000000006</v>
      </c>
      <c r="N675">
        <v>155.94</v>
      </c>
      <c r="O675">
        <v>5.0000000000000001E-3</v>
      </c>
      <c r="P675">
        <v>0.01</v>
      </c>
      <c r="Q675">
        <v>19.379000000000001</v>
      </c>
      <c r="R675">
        <v>76.584000000000003</v>
      </c>
      <c r="S675">
        <v>23.416</v>
      </c>
      <c r="T675">
        <v>525.39</v>
      </c>
      <c r="U675">
        <v>0.01</v>
      </c>
    </row>
    <row r="676" spans="1:24" x14ac:dyDescent="0.25">
      <c r="A676" t="s">
        <v>93</v>
      </c>
      <c r="B676" t="s">
        <v>48</v>
      </c>
      <c r="C676" t="s">
        <v>31</v>
      </c>
      <c r="D676">
        <v>2001</v>
      </c>
      <c r="E676">
        <v>100099101</v>
      </c>
      <c r="F676">
        <v>1251502726420</v>
      </c>
      <c r="G676">
        <v>210.22</v>
      </c>
      <c r="H676">
        <v>210.28</v>
      </c>
      <c r="I676">
        <v>0.01</v>
      </c>
      <c r="J676">
        <v>0.02</v>
      </c>
      <c r="K676">
        <v>34.72</v>
      </c>
      <c r="L676">
        <v>28.44</v>
      </c>
      <c r="M676">
        <v>8.73</v>
      </c>
      <c r="N676">
        <v>166.77</v>
      </c>
      <c r="O676">
        <v>5.0000000000000001E-3</v>
      </c>
      <c r="P676">
        <v>0.01</v>
      </c>
      <c r="Q676">
        <v>16.515999999999998</v>
      </c>
      <c r="R676">
        <v>79.331000000000003</v>
      </c>
      <c r="S676">
        <v>20.669</v>
      </c>
      <c r="T676">
        <v>543.91</v>
      </c>
      <c r="U676">
        <v>0.01</v>
      </c>
      <c r="V676">
        <v>0</v>
      </c>
      <c r="W676">
        <v>0</v>
      </c>
      <c r="X676">
        <v>-12</v>
      </c>
    </row>
    <row r="677" spans="1:24" x14ac:dyDescent="0.25">
      <c r="A677" t="s">
        <v>93</v>
      </c>
      <c r="B677" t="s">
        <v>48</v>
      </c>
      <c r="C677" t="s">
        <v>31</v>
      </c>
      <c r="D677">
        <v>2002</v>
      </c>
      <c r="E677">
        <v>101548627</v>
      </c>
      <c r="F677">
        <v>1275458026881</v>
      </c>
      <c r="G677">
        <v>215.73</v>
      </c>
      <c r="H677">
        <v>215.93</v>
      </c>
      <c r="I677">
        <v>0.01</v>
      </c>
      <c r="J677">
        <v>0.02</v>
      </c>
      <c r="K677">
        <v>30.96</v>
      </c>
      <c r="L677">
        <v>24.86</v>
      </c>
      <c r="M677">
        <v>9.75</v>
      </c>
      <c r="N677">
        <v>175.02</v>
      </c>
      <c r="O677">
        <v>5.0000000000000001E-3</v>
      </c>
      <c r="P677">
        <v>8.9999999999999993E-3</v>
      </c>
      <c r="Q677">
        <v>14.351000000000001</v>
      </c>
      <c r="R677">
        <v>81.129000000000005</v>
      </c>
      <c r="S677">
        <v>18.870999999999999</v>
      </c>
      <c r="T677">
        <v>553.41999999999996</v>
      </c>
      <c r="U677">
        <v>0.01</v>
      </c>
      <c r="V677">
        <v>0</v>
      </c>
      <c r="W677">
        <v>0</v>
      </c>
      <c r="X677">
        <v>-10.8</v>
      </c>
    </row>
    <row r="678" spans="1:24" x14ac:dyDescent="0.25">
      <c r="A678" t="s">
        <v>93</v>
      </c>
      <c r="B678" t="s">
        <v>48</v>
      </c>
      <c r="C678" t="s">
        <v>31</v>
      </c>
      <c r="D678">
        <v>2003</v>
      </c>
      <c r="E678">
        <v>102978517</v>
      </c>
      <c r="F678">
        <v>1306677417369</v>
      </c>
      <c r="G678">
        <v>224.9</v>
      </c>
      <c r="H678">
        <v>224.03</v>
      </c>
      <c r="I678">
        <v>0.01</v>
      </c>
      <c r="J678">
        <v>0.02</v>
      </c>
      <c r="K678">
        <v>26.83</v>
      </c>
      <c r="L678">
        <v>19.850000000000001</v>
      </c>
      <c r="M678">
        <v>10.5</v>
      </c>
      <c r="N678">
        <v>187.57</v>
      </c>
      <c r="O678">
        <v>4.0000000000000001E-3</v>
      </c>
      <c r="P678">
        <v>8.9999999999999993E-3</v>
      </c>
      <c r="Q678">
        <v>11.93</v>
      </c>
      <c r="R678">
        <v>83.402000000000001</v>
      </c>
      <c r="S678">
        <v>16.597999999999999</v>
      </c>
      <c r="T678">
        <v>570.16999999999996</v>
      </c>
      <c r="U678">
        <v>0.01</v>
      </c>
      <c r="V678">
        <v>0</v>
      </c>
      <c r="W678">
        <v>0</v>
      </c>
      <c r="X678">
        <v>-13.3</v>
      </c>
    </row>
    <row r="679" spans="1:24" x14ac:dyDescent="0.25">
      <c r="A679" t="s">
        <v>93</v>
      </c>
      <c r="B679" t="s">
        <v>48</v>
      </c>
      <c r="C679" t="s">
        <v>31</v>
      </c>
      <c r="D679">
        <v>2004</v>
      </c>
      <c r="E679">
        <v>104394131</v>
      </c>
      <c r="F679">
        <v>1373060298988</v>
      </c>
      <c r="G679">
        <v>235.39</v>
      </c>
      <c r="H679">
        <v>234.12</v>
      </c>
      <c r="I679">
        <v>0.01</v>
      </c>
      <c r="J679">
        <v>0.02</v>
      </c>
      <c r="K679">
        <v>32.47</v>
      </c>
      <c r="L679">
        <v>25.18</v>
      </c>
      <c r="M679">
        <v>9.19</v>
      </c>
      <c r="N679">
        <v>193.73</v>
      </c>
      <c r="O679">
        <v>4.0000000000000001E-3</v>
      </c>
      <c r="P679">
        <v>8.0000000000000002E-3</v>
      </c>
      <c r="Q679">
        <v>13.794</v>
      </c>
      <c r="R679">
        <v>82.302000000000007</v>
      </c>
      <c r="S679">
        <v>17.698</v>
      </c>
      <c r="T679">
        <v>553.92999999999995</v>
      </c>
      <c r="U679">
        <v>0.01</v>
      </c>
      <c r="V679">
        <v>0</v>
      </c>
      <c r="W679">
        <v>0</v>
      </c>
      <c r="X679">
        <v>21</v>
      </c>
    </row>
    <row r="680" spans="1:24" x14ac:dyDescent="0.25">
      <c r="A680" t="s">
        <v>93</v>
      </c>
      <c r="B680" t="s">
        <v>48</v>
      </c>
      <c r="C680" t="s">
        <v>31</v>
      </c>
      <c r="D680">
        <v>2005</v>
      </c>
      <c r="E680">
        <v>105811504</v>
      </c>
      <c r="F680">
        <v>1427140428046</v>
      </c>
      <c r="G680">
        <v>247.97</v>
      </c>
      <c r="H680">
        <v>246.3</v>
      </c>
      <c r="I680">
        <v>0.01</v>
      </c>
      <c r="J680">
        <v>0.02</v>
      </c>
      <c r="K680">
        <v>35.880000000000003</v>
      </c>
      <c r="L680">
        <v>27.71</v>
      </c>
      <c r="M680">
        <v>10.8</v>
      </c>
      <c r="N680">
        <v>201.29</v>
      </c>
      <c r="O680">
        <v>4.0000000000000001E-3</v>
      </c>
      <c r="P680">
        <v>8.0000000000000002E-3</v>
      </c>
      <c r="Q680">
        <v>14.468999999999999</v>
      </c>
      <c r="R680">
        <v>81.174999999999997</v>
      </c>
      <c r="S680">
        <v>18.824999999999999</v>
      </c>
      <c r="T680">
        <v>555.83000000000004</v>
      </c>
      <c r="U680">
        <v>0.01</v>
      </c>
      <c r="V680">
        <v>0</v>
      </c>
      <c r="W680">
        <v>0</v>
      </c>
      <c r="X680">
        <v>10.5</v>
      </c>
    </row>
    <row r="681" spans="1:24" x14ac:dyDescent="0.25">
      <c r="A681" t="s">
        <v>93</v>
      </c>
      <c r="B681" t="s">
        <v>48</v>
      </c>
      <c r="C681" t="s">
        <v>31</v>
      </c>
      <c r="D681">
        <v>2006</v>
      </c>
      <c r="E681">
        <v>107253666</v>
      </c>
      <c r="F681">
        <v>1510732401129</v>
      </c>
      <c r="G681">
        <v>256.25</v>
      </c>
      <c r="H681">
        <v>255.47</v>
      </c>
      <c r="I681">
        <v>0.01</v>
      </c>
      <c r="J681">
        <v>0.05</v>
      </c>
      <c r="K681">
        <v>38</v>
      </c>
      <c r="L681">
        <v>30.45</v>
      </c>
      <c r="M681">
        <v>10.87</v>
      </c>
      <c r="N681">
        <v>207.38</v>
      </c>
      <c r="O681">
        <v>4.0000000000000001E-3</v>
      </c>
      <c r="P681">
        <v>0.02</v>
      </c>
      <c r="Q681">
        <v>14.829000000000001</v>
      </c>
      <c r="R681">
        <v>80.929000000000002</v>
      </c>
      <c r="S681">
        <v>19.071000000000002</v>
      </c>
      <c r="T681">
        <v>546.80999999999995</v>
      </c>
      <c r="U681">
        <v>0.03</v>
      </c>
      <c r="V681">
        <v>0</v>
      </c>
      <c r="W681">
        <v>150</v>
      </c>
      <c r="X681">
        <v>5.9</v>
      </c>
    </row>
    <row r="682" spans="1:24" x14ac:dyDescent="0.25">
      <c r="A682" t="s">
        <v>93</v>
      </c>
      <c r="B682" t="s">
        <v>48</v>
      </c>
      <c r="C682" t="s">
        <v>31</v>
      </c>
      <c r="D682">
        <v>2007</v>
      </c>
      <c r="E682">
        <v>108774356</v>
      </c>
      <c r="F682">
        <v>1572479287017</v>
      </c>
      <c r="G682">
        <v>263.26</v>
      </c>
      <c r="H682">
        <v>262.08999999999997</v>
      </c>
      <c r="I682">
        <v>0.01</v>
      </c>
      <c r="J682">
        <v>0.25</v>
      </c>
      <c r="K682">
        <v>35.85</v>
      </c>
      <c r="L682">
        <v>27.34</v>
      </c>
      <c r="M682">
        <v>10.42</v>
      </c>
      <c r="N682">
        <v>216.99</v>
      </c>
      <c r="O682">
        <v>4.0000000000000001E-3</v>
      </c>
      <c r="P682">
        <v>9.5000000000000001E-2</v>
      </c>
      <c r="Q682">
        <v>13.618</v>
      </c>
      <c r="R682">
        <v>82.424000000000007</v>
      </c>
      <c r="S682">
        <v>17.576000000000001</v>
      </c>
      <c r="T682">
        <v>554.21</v>
      </c>
      <c r="U682">
        <v>0.12</v>
      </c>
      <c r="V682">
        <v>0</v>
      </c>
      <c r="W682">
        <v>400</v>
      </c>
      <c r="X682">
        <v>-5.7</v>
      </c>
    </row>
    <row r="683" spans="1:24" x14ac:dyDescent="0.25">
      <c r="A683" t="s">
        <v>93</v>
      </c>
      <c r="B683" t="s">
        <v>48</v>
      </c>
      <c r="C683" t="s">
        <v>31</v>
      </c>
      <c r="D683">
        <v>2008</v>
      </c>
      <c r="E683">
        <v>110374286</v>
      </c>
      <c r="F683">
        <v>1607479004533</v>
      </c>
      <c r="G683">
        <v>269.29000000000002</v>
      </c>
      <c r="H683">
        <v>268.19</v>
      </c>
      <c r="I683">
        <v>0.02</v>
      </c>
      <c r="J683">
        <v>0.25</v>
      </c>
      <c r="K683">
        <v>47.39</v>
      </c>
      <c r="L683">
        <v>39.22</v>
      </c>
      <c r="M683">
        <v>9.8000000000000007</v>
      </c>
      <c r="N683">
        <v>212.1</v>
      </c>
      <c r="O683">
        <v>7.0000000000000001E-3</v>
      </c>
      <c r="P683">
        <v>9.2999999999999999E-2</v>
      </c>
      <c r="Q683">
        <v>17.597999999999999</v>
      </c>
      <c r="R683">
        <v>78.763000000000005</v>
      </c>
      <c r="S683">
        <v>21.236999999999998</v>
      </c>
      <c r="T683">
        <v>522.04</v>
      </c>
      <c r="U683">
        <v>0.12</v>
      </c>
      <c r="V683">
        <v>100</v>
      </c>
      <c r="W683">
        <v>0</v>
      </c>
      <c r="X683">
        <v>32.200000000000003</v>
      </c>
    </row>
    <row r="684" spans="1:24" x14ac:dyDescent="0.25">
      <c r="A684" t="s">
        <v>93</v>
      </c>
      <c r="B684" t="s">
        <v>48</v>
      </c>
      <c r="C684" t="s">
        <v>31</v>
      </c>
      <c r="D684">
        <v>2009</v>
      </c>
      <c r="E684">
        <v>111999720</v>
      </c>
      <c r="F684">
        <v>1543820957956</v>
      </c>
      <c r="G684">
        <v>267.76</v>
      </c>
      <c r="H684">
        <v>266.86</v>
      </c>
      <c r="I684">
        <v>0.03</v>
      </c>
      <c r="J684">
        <v>0.6</v>
      </c>
      <c r="K684">
        <v>34.9</v>
      </c>
      <c r="L684">
        <v>26.72</v>
      </c>
      <c r="M684">
        <v>10.5</v>
      </c>
      <c r="N684">
        <v>222.36</v>
      </c>
      <c r="O684">
        <v>1.0999999999999999E-2</v>
      </c>
      <c r="P684">
        <v>0.224</v>
      </c>
      <c r="Q684">
        <v>13.034000000000001</v>
      </c>
      <c r="R684">
        <v>83.045000000000002</v>
      </c>
      <c r="S684">
        <v>16.954999999999998</v>
      </c>
      <c r="T684">
        <v>554.08000000000004</v>
      </c>
      <c r="U684">
        <v>0.28000000000000003</v>
      </c>
      <c r="V684">
        <v>50</v>
      </c>
      <c r="W684">
        <v>140</v>
      </c>
      <c r="X684">
        <v>-26.4</v>
      </c>
    </row>
    <row r="685" spans="1:24" x14ac:dyDescent="0.25">
      <c r="A685" t="s">
        <v>93</v>
      </c>
      <c r="B685" t="s">
        <v>48</v>
      </c>
      <c r="C685" t="s">
        <v>31</v>
      </c>
      <c r="D685">
        <v>2010</v>
      </c>
      <c r="E685">
        <v>113623898</v>
      </c>
      <c r="F685">
        <v>1638271507559</v>
      </c>
      <c r="G685">
        <v>275.57</v>
      </c>
      <c r="H685">
        <v>274.62</v>
      </c>
      <c r="I685">
        <v>0.03</v>
      </c>
      <c r="J685">
        <v>1.24</v>
      </c>
      <c r="K685">
        <v>46.47</v>
      </c>
      <c r="L685">
        <v>37.200000000000003</v>
      </c>
      <c r="M685">
        <v>5.88</v>
      </c>
      <c r="N685">
        <v>223.22</v>
      </c>
      <c r="O685">
        <v>1.0999999999999999E-2</v>
      </c>
      <c r="P685">
        <v>0.45</v>
      </c>
      <c r="Q685">
        <v>16.863</v>
      </c>
      <c r="R685">
        <v>81.003</v>
      </c>
      <c r="S685">
        <v>18.997</v>
      </c>
      <c r="T685">
        <v>541.92999999999995</v>
      </c>
      <c r="U685">
        <v>0.56999999999999995</v>
      </c>
      <c r="V685">
        <v>0</v>
      </c>
      <c r="W685">
        <v>106.7</v>
      </c>
      <c r="X685">
        <v>33.200000000000003</v>
      </c>
    </row>
    <row r="686" spans="1:24" x14ac:dyDescent="0.25">
      <c r="A686" t="s">
        <v>93</v>
      </c>
      <c r="B686" t="s">
        <v>48</v>
      </c>
      <c r="C686" t="s">
        <v>31</v>
      </c>
      <c r="D686">
        <v>2011</v>
      </c>
      <c r="E686">
        <v>115243503</v>
      </c>
      <c r="F686">
        <v>1716088331953</v>
      </c>
      <c r="G686">
        <v>292.14999999999998</v>
      </c>
      <c r="H686">
        <v>291.45</v>
      </c>
      <c r="I686">
        <v>0.04</v>
      </c>
      <c r="J686">
        <v>1.65</v>
      </c>
      <c r="K686">
        <v>45.93</v>
      </c>
      <c r="L686">
        <v>36.270000000000003</v>
      </c>
      <c r="M686">
        <v>10.09</v>
      </c>
      <c r="N686">
        <v>236.13</v>
      </c>
      <c r="O686">
        <v>1.4E-2</v>
      </c>
      <c r="P686">
        <v>0.56499999999999995</v>
      </c>
      <c r="Q686">
        <v>15.721</v>
      </c>
      <c r="R686">
        <v>80.825000000000003</v>
      </c>
      <c r="S686">
        <v>19.175000000000001</v>
      </c>
      <c r="T686">
        <v>539.79</v>
      </c>
      <c r="U686">
        <v>0.76</v>
      </c>
      <c r="V686">
        <v>33.299999999999997</v>
      </c>
      <c r="W686">
        <v>33.1</v>
      </c>
      <c r="X686">
        <v>-1.2</v>
      </c>
    </row>
    <row r="687" spans="1:24" x14ac:dyDescent="0.25">
      <c r="A687" t="s">
        <v>93</v>
      </c>
      <c r="B687" t="s">
        <v>48</v>
      </c>
      <c r="C687" t="s">
        <v>31</v>
      </c>
      <c r="D687">
        <v>2012</v>
      </c>
      <c r="E687">
        <v>116818208</v>
      </c>
      <c r="F687">
        <v>1774999946047</v>
      </c>
      <c r="G687">
        <v>296.39</v>
      </c>
      <c r="H687">
        <v>297.45</v>
      </c>
      <c r="I687">
        <v>7.0000000000000007E-2</v>
      </c>
      <c r="J687">
        <v>3.69</v>
      </c>
      <c r="K687">
        <v>43.06</v>
      </c>
      <c r="L687">
        <v>31.85</v>
      </c>
      <c r="M687">
        <v>8.77</v>
      </c>
      <c r="N687">
        <v>244.56</v>
      </c>
      <c r="O687">
        <v>2.4E-2</v>
      </c>
      <c r="P687">
        <v>1.2450000000000001</v>
      </c>
      <c r="Q687">
        <v>14.528</v>
      </c>
      <c r="R687">
        <v>82.513000000000005</v>
      </c>
      <c r="S687">
        <v>17.486999999999998</v>
      </c>
      <c r="T687">
        <v>550.26</v>
      </c>
      <c r="U687">
        <v>1.69</v>
      </c>
      <c r="V687">
        <v>75</v>
      </c>
      <c r="W687">
        <v>123.6</v>
      </c>
      <c r="X687">
        <v>-6.2</v>
      </c>
    </row>
    <row r="688" spans="1:24" x14ac:dyDescent="0.25">
      <c r="A688" t="s">
        <v>93</v>
      </c>
      <c r="B688" t="s">
        <v>48</v>
      </c>
      <c r="C688" t="s">
        <v>31</v>
      </c>
      <c r="D688">
        <v>2013</v>
      </c>
      <c r="E688">
        <v>118343572</v>
      </c>
      <c r="F688">
        <v>1803059285337</v>
      </c>
      <c r="G688">
        <v>297.12</v>
      </c>
      <c r="H688">
        <v>297.08999999999997</v>
      </c>
      <c r="I688">
        <v>0.11</v>
      </c>
      <c r="J688">
        <v>4.18</v>
      </c>
      <c r="K688">
        <v>40.119999999999997</v>
      </c>
      <c r="L688">
        <v>27.96</v>
      </c>
      <c r="M688">
        <v>11.8</v>
      </c>
      <c r="N688">
        <v>245.2</v>
      </c>
      <c r="O688">
        <v>3.6999999999999998E-2</v>
      </c>
      <c r="P688">
        <v>1.407</v>
      </c>
      <c r="Q688">
        <v>13.503</v>
      </c>
      <c r="R688">
        <v>82.525999999999996</v>
      </c>
      <c r="S688">
        <v>17.474</v>
      </c>
      <c r="T688">
        <v>546.82000000000005</v>
      </c>
      <c r="U688">
        <v>1.93</v>
      </c>
      <c r="V688">
        <v>57.1</v>
      </c>
      <c r="W688">
        <v>13.3</v>
      </c>
      <c r="X688">
        <v>-6.8</v>
      </c>
    </row>
    <row r="689" spans="1:25" x14ac:dyDescent="0.25">
      <c r="A689" t="s">
        <v>93</v>
      </c>
      <c r="B689" t="s">
        <v>48</v>
      </c>
      <c r="C689" t="s">
        <v>31</v>
      </c>
      <c r="D689">
        <v>2014</v>
      </c>
      <c r="E689">
        <v>119784265</v>
      </c>
      <c r="F689">
        <v>1854551091374</v>
      </c>
      <c r="G689">
        <v>303.33</v>
      </c>
      <c r="H689">
        <v>302.8</v>
      </c>
      <c r="I689">
        <v>0.22</v>
      </c>
      <c r="J689">
        <v>6.43</v>
      </c>
      <c r="K689">
        <v>53.64</v>
      </c>
      <c r="L689">
        <v>38.89</v>
      </c>
      <c r="M689">
        <v>9.68</v>
      </c>
      <c r="N689">
        <v>240.01</v>
      </c>
      <c r="O689">
        <v>7.2999999999999995E-2</v>
      </c>
      <c r="P689">
        <v>2.12</v>
      </c>
      <c r="Q689">
        <v>17.684000000000001</v>
      </c>
      <c r="R689">
        <v>79.125</v>
      </c>
      <c r="S689">
        <v>20.875</v>
      </c>
      <c r="T689">
        <v>525.6</v>
      </c>
      <c r="U689">
        <v>2.99</v>
      </c>
      <c r="V689">
        <v>100</v>
      </c>
      <c r="W689">
        <v>53.8</v>
      </c>
      <c r="X689">
        <v>33.700000000000003</v>
      </c>
    </row>
    <row r="690" spans="1:25" x14ac:dyDescent="0.25">
      <c r="A690" t="s">
        <v>93</v>
      </c>
      <c r="B690" t="s">
        <v>48</v>
      </c>
      <c r="C690" t="s">
        <v>31</v>
      </c>
      <c r="D690">
        <v>2015</v>
      </c>
      <c r="E690">
        <v>121072310</v>
      </c>
      <c r="F690">
        <v>1916008739051</v>
      </c>
      <c r="G690">
        <v>310.36</v>
      </c>
      <c r="H690">
        <v>309.69</v>
      </c>
      <c r="I690">
        <v>0.2</v>
      </c>
      <c r="J690">
        <v>8.75</v>
      </c>
      <c r="K690">
        <v>48.24</v>
      </c>
      <c r="L690">
        <v>30.89</v>
      </c>
      <c r="M690">
        <v>11.58</v>
      </c>
      <c r="N690">
        <v>250.54</v>
      </c>
      <c r="O690">
        <v>6.4000000000000001E-2</v>
      </c>
      <c r="P690">
        <v>2.819</v>
      </c>
      <c r="Q690">
        <v>15.542999999999999</v>
      </c>
      <c r="R690">
        <v>80.725999999999999</v>
      </c>
      <c r="S690">
        <v>19.274000000000001</v>
      </c>
      <c r="T690">
        <v>533.9</v>
      </c>
      <c r="U690">
        <v>4.03</v>
      </c>
      <c r="V690">
        <v>-9.1</v>
      </c>
      <c r="W690">
        <v>36.1</v>
      </c>
      <c r="X690">
        <v>-10.1</v>
      </c>
      <c r="Y690" t="s">
        <v>94</v>
      </c>
    </row>
    <row r="691" spans="1:25" x14ac:dyDescent="0.25">
      <c r="A691" t="s">
        <v>93</v>
      </c>
      <c r="B691" t="s">
        <v>48</v>
      </c>
      <c r="C691" t="s">
        <v>31</v>
      </c>
      <c r="D691">
        <v>2016</v>
      </c>
      <c r="E691">
        <v>122251344</v>
      </c>
      <c r="F691">
        <v>1961906742138</v>
      </c>
      <c r="G691">
        <v>320.35000000000002</v>
      </c>
      <c r="H691">
        <v>320.61</v>
      </c>
      <c r="I691">
        <v>0.25</v>
      </c>
      <c r="J691">
        <v>10.38</v>
      </c>
      <c r="K691">
        <v>48.98</v>
      </c>
      <c r="L691">
        <v>30.03</v>
      </c>
      <c r="M691">
        <v>10.57</v>
      </c>
      <c r="N691">
        <v>260.8</v>
      </c>
      <c r="O691">
        <v>7.8E-2</v>
      </c>
      <c r="P691">
        <v>3.24</v>
      </c>
      <c r="Q691">
        <v>15.29</v>
      </c>
      <c r="R691">
        <v>81.411000000000001</v>
      </c>
      <c r="S691">
        <v>18.588999999999999</v>
      </c>
      <c r="T691">
        <v>537.6</v>
      </c>
      <c r="U691">
        <v>4.78</v>
      </c>
      <c r="V691">
        <v>25</v>
      </c>
      <c r="W691">
        <v>18.600000000000001</v>
      </c>
      <c r="X691">
        <v>1.5</v>
      </c>
    </row>
    <row r="692" spans="1:25" x14ac:dyDescent="0.25">
      <c r="A692" t="s">
        <v>93</v>
      </c>
      <c r="B692" t="s">
        <v>48</v>
      </c>
      <c r="C692" t="s">
        <v>31</v>
      </c>
      <c r="D692">
        <v>2017</v>
      </c>
      <c r="E692">
        <v>123400052</v>
      </c>
      <c r="F692">
        <v>2007719438156</v>
      </c>
      <c r="G692">
        <v>329.09</v>
      </c>
      <c r="H692">
        <v>329.44</v>
      </c>
      <c r="I692">
        <v>1.19</v>
      </c>
      <c r="J692">
        <v>10.62</v>
      </c>
      <c r="K692">
        <v>50.78</v>
      </c>
      <c r="L692">
        <v>30.88</v>
      </c>
      <c r="M692">
        <v>10.88</v>
      </c>
      <c r="N692">
        <v>267.43</v>
      </c>
      <c r="O692">
        <v>0.36199999999999999</v>
      </c>
      <c r="P692">
        <v>3.2269999999999999</v>
      </c>
      <c r="Q692">
        <v>15.43</v>
      </c>
      <c r="R692">
        <v>81.263000000000005</v>
      </c>
      <c r="S692">
        <v>18.736999999999998</v>
      </c>
      <c r="T692">
        <v>533.67999999999995</v>
      </c>
      <c r="U692">
        <v>5.31</v>
      </c>
      <c r="V692">
        <v>376</v>
      </c>
      <c r="W692">
        <v>2.2999999999999998</v>
      </c>
      <c r="X692">
        <v>3.7</v>
      </c>
    </row>
    <row r="693" spans="1:25" x14ac:dyDescent="0.25">
      <c r="A693" t="s">
        <v>93</v>
      </c>
      <c r="B693" t="s">
        <v>48</v>
      </c>
      <c r="C693" t="s">
        <v>31</v>
      </c>
      <c r="D693">
        <v>2018</v>
      </c>
      <c r="E693">
        <v>124573713</v>
      </c>
      <c r="F693">
        <v>2051539127317</v>
      </c>
      <c r="G693">
        <v>349.29</v>
      </c>
      <c r="H693">
        <v>350.54</v>
      </c>
      <c r="I693">
        <v>3.21</v>
      </c>
      <c r="J693">
        <v>12.44</v>
      </c>
      <c r="K693">
        <v>55.24</v>
      </c>
      <c r="L693">
        <v>32.229999999999997</v>
      </c>
      <c r="M693">
        <v>13.55</v>
      </c>
      <c r="N693">
        <v>280.5</v>
      </c>
      <c r="O693">
        <v>0.91900000000000004</v>
      </c>
      <c r="P693">
        <v>3.5619999999999998</v>
      </c>
      <c r="Q693">
        <v>15.815</v>
      </c>
      <c r="R693">
        <v>80.305999999999997</v>
      </c>
      <c r="S693">
        <v>19.693999999999999</v>
      </c>
      <c r="T693">
        <v>523.91999999999996</v>
      </c>
      <c r="U693">
        <v>7.04</v>
      </c>
      <c r="V693">
        <v>169.7</v>
      </c>
      <c r="W693">
        <v>17.100000000000001</v>
      </c>
      <c r="X693">
        <v>8.8000000000000007</v>
      </c>
    </row>
    <row r="694" spans="1:25" x14ac:dyDescent="0.25">
      <c r="A694" t="s">
        <v>93</v>
      </c>
      <c r="B694" t="s">
        <v>48</v>
      </c>
      <c r="C694" t="s">
        <v>31</v>
      </c>
      <c r="D694">
        <v>2019</v>
      </c>
      <c r="E694">
        <v>125762978</v>
      </c>
      <c r="F694">
        <v>2047701179708</v>
      </c>
      <c r="G694">
        <v>344.57</v>
      </c>
      <c r="H694">
        <v>345.39</v>
      </c>
      <c r="I694">
        <v>9.9600000000000009</v>
      </c>
      <c r="J694">
        <v>16.73</v>
      </c>
      <c r="K694">
        <v>57.5</v>
      </c>
      <c r="L694">
        <v>23.6</v>
      </c>
      <c r="M694">
        <v>11.19</v>
      </c>
      <c r="N694">
        <v>275.88</v>
      </c>
      <c r="O694">
        <v>2.891</v>
      </c>
      <c r="P694">
        <v>4.8550000000000004</v>
      </c>
      <c r="Q694">
        <v>16.687000000000001</v>
      </c>
      <c r="R694">
        <v>80.064999999999998</v>
      </c>
      <c r="S694">
        <v>19.934999999999999</v>
      </c>
      <c r="T694">
        <v>525.73</v>
      </c>
      <c r="U694">
        <v>12.01</v>
      </c>
      <c r="V694">
        <v>210.3</v>
      </c>
      <c r="W694">
        <v>34.5</v>
      </c>
      <c r="X694">
        <v>4.0999999999999996</v>
      </c>
    </row>
    <row r="695" spans="1:25" x14ac:dyDescent="0.25">
      <c r="A695" t="s">
        <v>93</v>
      </c>
      <c r="B695" t="s">
        <v>48</v>
      </c>
      <c r="C695" t="s">
        <v>31</v>
      </c>
      <c r="D695">
        <v>2020</v>
      </c>
      <c r="E695">
        <v>126799053</v>
      </c>
      <c r="F695">
        <v>1880176557054</v>
      </c>
      <c r="G695">
        <v>325.73</v>
      </c>
      <c r="H695">
        <v>329.74</v>
      </c>
      <c r="I695">
        <v>15.84</v>
      </c>
      <c r="J695">
        <v>19.7</v>
      </c>
      <c r="K695">
        <v>69.37</v>
      </c>
      <c r="L695">
        <v>26.82</v>
      </c>
      <c r="M695">
        <v>11.18</v>
      </c>
      <c r="N695">
        <v>245.18</v>
      </c>
      <c r="O695">
        <v>4.8630000000000004</v>
      </c>
      <c r="P695">
        <v>6.048</v>
      </c>
      <c r="Q695">
        <v>21.297000000000001</v>
      </c>
      <c r="R695">
        <v>75.271000000000001</v>
      </c>
      <c r="S695">
        <v>24.728999999999999</v>
      </c>
      <c r="T695">
        <v>484.05</v>
      </c>
      <c r="U695">
        <v>15.99</v>
      </c>
      <c r="V695">
        <v>59</v>
      </c>
      <c r="W695">
        <v>17.8</v>
      </c>
      <c r="X695">
        <v>20.6</v>
      </c>
    </row>
    <row r="696" spans="1:25" x14ac:dyDescent="0.25">
      <c r="A696" t="s">
        <v>93</v>
      </c>
      <c r="B696" t="s">
        <v>48</v>
      </c>
      <c r="C696" t="s">
        <v>31</v>
      </c>
      <c r="D696">
        <v>2021</v>
      </c>
      <c r="E696">
        <v>127648151</v>
      </c>
      <c r="F696">
        <v>1973141022977</v>
      </c>
      <c r="G696">
        <v>328.59</v>
      </c>
      <c r="H696">
        <v>327.63</v>
      </c>
      <c r="I696">
        <v>20.190000000000001</v>
      </c>
      <c r="J696">
        <v>21.07</v>
      </c>
      <c r="K696">
        <v>82.09</v>
      </c>
      <c r="L696">
        <v>34.72</v>
      </c>
      <c r="M696">
        <v>11.92</v>
      </c>
      <c r="N696">
        <v>234.58</v>
      </c>
      <c r="O696">
        <v>6.1440000000000001</v>
      </c>
      <c r="P696">
        <v>6.4119999999999999</v>
      </c>
      <c r="Q696">
        <v>24.983000000000001</v>
      </c>
      <c r="R696">
        <v>71.39</v>
      </c>
      <c r="S696">
        <v>28.61</v>
      </c>
      <c r="T696">
        <v>456.25</v>
      </c>
      <c r="U696">
        <v>18.57</v>
      </c>
      <c r="V696">
        <v>27.5</v>
      </c>
      <c r="W696">
        <v>7</v>
      </c>
      <c r="X696">
        <v>18.3</v>
      </c>
    </row>
    <row r="697" spans="1:25" x14ac:dyDescent="0.25">
      <c r="A697" t="s">
        <v>93</v>
      </c>
      <c r="B697" t="s">
        <v>48</v>
      </c>
      <c r="C697" t="s">
        <v>31</v>
      </c>
      <c r="D697">
        <v>2022</v>
      </c>
      <c r="E697">
        <v>128613116</v>
      </c>
      <c r="F697">
        <v>2033437602787</v>
      </c>
      <c r="G697">
        <v>340.15</v>
      </c>
      <c r="H697">
        <v>339.88</v>
      </c>
      <c r="I697">
        <v>20.34</v>
      </c>
      <c r="J697">
        <v>20.53</v>
      </c>
      <c r="K697">
        <v>83.13</v>
      </c>
      <c r="L697">
        <v>35.56</v>
      </c>
      <c r="M697">
        <v>10.85</v>
      </c>
      <c r="N697">
        <v>246.17</v>
      </c>
      <c r="O697">
        <v>5.98</v>
      </c>
      <c r="P697">
        <v>6.0359999999999996</v>
      </c>
      <c r="Q697">
        <v>24.439</v>
      </c>
      <c r="R697">
        <v>72.370999999999995</v>
      </c>
      <c r="S697">
        <v>27.629000000000001</v>
      </c>
      <c r="T697">
        <v>464.38</v>
      </c>
      <c r="U697">
        <v>18.39</v>
      </c>
      <c r="V697">
        <v>0.7</v>
      </c>
      <c r="W697">
        <v>-2.6</v>
      </c>
      <c r="X697">
        <v>1.3</v>
      </c>
    </row>
    <row r="698" spans="1:25" x14ac:dyDescent="0.25">
      <c r="A698" t="s">
        <v>93</v>
      </c>
      <c r="B698" t="s">
        <v>48</v>
      </c>
      <c r="C698" t="s">
        <v>31</v>
      </c>
      <c r="D698">
        <v>2023</v>
      </c>
      <c r="E698">
        <v>129739761</v>
      </c>
      <c r="G698">
        <v>351.7</v>
      </c>
      <c r="H698">
        <v>350.66</v>
      </c>
      <c r="I698">
        <v>23.34</v>
      </c>
      <c r="J698">
        <v>20.7</v>
      </c>
      <c r="K698">
        <v>71.28</v>
      </c>
      <c r="L698">
        <v>20.61</v>
      </c>
      <c r="M698">
        <v>12.39</v>
      </c>
      <c r="N698">
        <v>268.02999999999997</v>
      </c>
      <c r="O698">
        <v>6.6360000000000001</v>
      </c>
      <c r="P698">
        <v>5.8860000000000001</v>
      </c>
      <c r="Q698">
        <v>20.266999999999999</v>
      </c>
      <c r="R698">
        <v>76.209999999999994</v>
      </c>
      <c r="S698">
        <v>23.79</v>
      </c>
      <c r="T698">
        <v>489.05</v>
      </c>
      <c r="U698">
        <v>19.82</v>
      </c>
      <c r="V698">
        <v>14.7</v>
      </c>
      <c r="W698">
        <v>0.8</v>
      </c>
      <c r="X698">
        <v>-14.3</v>
      </c>
    </row>
    <row r="699" spans="1:25" x14ac:dyDescent="0.25">
      <c r="A699" t="s">
        <v>93</v>
      </c>
      <c r="B699" t="s">
        <v>48</v>
      </c>
      <c r="C699" t="s">
        <v>31</v>
      </c>
      <c r="D699">
        <v>2024</v>
      </c>
      <c r="E699">
        <v>130861001</v>
      </c>
      <c r="G699">
        <v>355.18</v>
      </c>
      <c r="H699">
        <v>354.87</v>
      </c>
      <c r="I699">
        <v>25.72</v>
      </c>
      <c r="J699">
        <v>19.75</v>
      </c>
      <c r="K699">
        <v>75</v>
      </c>
      <c r="L699">
        <v>23.54</v>
      </c>
      <c r="M699">
        <v>12.31</v>
      </c>
      <c r="N699">
        <v>267.87</v>
      </c>
      <c r="O699">
        <v>7.2409999999999997</v>
      </c>
      <c r="P699">
        <v>5.5609999999999999</v>
      </c>
      <c r="Q699">
        <v>21.116</v>
      </c>
      <c r="R699">
        <v>75.418000000000006</v>
      </c>
      <c r="S699">
        <v>24.582000000000001</v>
      </c>
      <c r="T699">
        <v>483.14</v>
      </c>
      <c r="U699">
        <v>20.46</v>
      </c>
      <c r="V699">
        <v>10.199999999999999</v>
      </c>
      <c r="W699">
        <v>-4.5999999999999996</v>
      </c>
      <c r="X699">
        <v>5.2</v>
      </c>
    </row>
    <row r="700" spans="1:25" x14ac:dyDescent="0.25">
      <c r="A700" t="s">
        <v>93</v>
      </c>
      <c r="B700" t="s">
        <v>48</v>
      </c>
      <c r="C700" t="s">
        <v>31</v>
      </c>
      <c r="D700">
        <v>2025</v>
      </c>
      <c r="E700">
        <v>131946897</v>
      </c>
      <c r="G700">
        <v>356.97</v>
      </c>
      <c r="H700">
        <v>356.66</v>
      </c>
      <c r="I700">
        <v>26.34</v>
      </c>
      <c r="J700">
        <v>21.38</v>
      </c>
      <c r="K700">
        <v>82.43</v>
      </c>
      <c r="L700">
        <v>28.75</v>
      </c>
      <c r="M700">
        <v>10.16</v>
      </c>
      <c r="N700">
        <v>264.38</v>
      </c>
      <c r="O700">
        <v>7.3789999999999996</v>
      </c>
      <c r="P700">
        <v>5.9889999999999999</v>
      </c>
      <c r="Q700">
        <v>23.091999999999999</v>
      </c>
      <c r="R700">
        <v>74.061999999999998</v>
      </c>
      <c r="S700">
        <v>25.937999999999999</v>
      </c>
      <c r="T700">
        <v>474.02</v>
      </c>
      <c r="U700">
        <v>21.47</v>
      </c>
      <c r="V700">
        <v>2.4</v>
      </c>
      <c r="W700">
        <v>8.3000000000000007</v>
      </c>
      <c r="X700">
        <v>9.9</v>
      </c>
    </row>
    <row r="701" spans="1:25" x14ac:dyDescent="0.25">
      <c r="A701" t="s">
        <v>95</v>
      </c>
      <c r="B701" t="s">
        <v>38</v>
      </c>
      <c r="C701" t="s">
        <v>35</v>
      </c>
      <c r="D701">
        <v>2000</v>
      </c>
      <c r="E701">
        <v>16058757</v>
      </c>
      <c r="F701">
        <v>603803040978</v>
      </c>
      <c r="G701">
        <v>88.06</v>
      </c>
      <c r="H701">
        <v>106.97</v>
      </c>
      <c r="I701">
        <v>0.01</v>
      </c>
      <c r="J701">
        <v>0.83</v>
      </c>
      <c r="K701">
        <v>2.97</v>
      </c>
      <c r="L701">
        <v>0.14000000000000001</v>
      </c>
      <c r="M701">
        <v>3.93</v>
      </c>
      <c r="N701">
        <v>81.16</v>
      </c>
      <c r="O701">
        <v>1.0999999999999999E-2</v>
      </c>
      <c r="P701">
        <v>0.94299999999999995</v>
      </c>
      <c r="Q701">
        <v>3.3730000000000002</v>
      </c>
      <c r="R701">
        <v>92.164000000000001</v>
      </c>
      <c r="S701">
        <v>7.8360000000000003</v>
      </c>
      <c r="T701">
        <v>540.30999999999995</v>
      </c>
      <c r="U701">
        <v>0.38</v>
      </c>
    </row>
    <row r="702" spans="1:25" x14ac:dyDescent="0.25">
      <c r="A702" t="s">
        <v>95</v>
      </c>
      <c r="B702" t="s">
        <v>38</v>
      </c>
      <c r="C702" t="s">
        <v>35</v>
      </c>
      <c r="D702">
        <v>2001</v>
      </c>
      <c r="E702">
        <v>16182705</v>
      </c>
      <c r="F702">
        <v>620170874924</v>
      </c>
      <c r="G702">
        <v>92.14</v>
      </c>
      <c r="H702">
        <v>109.42</v>
      </c>
      <c r="I702">
        <v>0.01</v>
      </c>
      <c r="J702">
        <v>0.83</v>
      </c>
      <c r="K702">
        <v>3.31</v>
      </c>
      <c r="L702">
        <v>0.12</v>
      </c>
      <c r="M702">
        <v>3.98</v>
      </c>
      <c r="N702">
        <v>84.85</v>
      </c>
      <c r="O702">
        <v>1.0999999999999999E-2</v>
      </c>
      <c r="P702">
        <v>0.90100000000000002</v>
      </c>
      <c r="Q702">
        <v>3.5920000000000001</v>
      </c>
      <c r="R702">
        <v>92.087999999999994</v>
      </c>
      <c r="S702">
        <v>7.9119999999999999</v>
      </c>
      <c r="T702">
        <v>541.03</v>
      </c>
      <c r="U702">
        <v>0.38</v>
      </c>
      <c r="V702">
        <v>0</v>
      </c>
      <c r="W702">
        <v>0</v>
      </c>
      <c r="X702">
        <v>11.4</v>
      </c>
    </row>
    <row r="703" spans="1:25" x14ac:dyDescent="0.25">
      <c r="A703" t="s">
        <v>95</v>
      </c>
      <c r="B703" t="s">
        <v>38</v>
      </c>
      <c r="C703" t="s">
        <v>35</v>
      </c>
      <c r="D703">
        <v>2002</v>
      </c>
      <c r="E703">
        <v>16288060</v>
      </c>
      <c r="F703">
        <v>624424625610</v>
      </c>
      <c r="G703">
        <v>94.64</v>
      </c>
      <c r="H703">
        <v>111.02</v>
      </c>
      <c r="I703">
        <v>0.02</v>
      </c>
      <c r="J703">
        <v>0.95</v>
      </c>
      <c r="K703">
        <v>3.98</v>
      </c>
      <c r="L703">
        <v>0.11</v>
      </c>
      <c r="M703">
        <v>3.91</v>
      </c>
      <c r="N703">
        <v>86.75</v>
      </c>
      <c r="O703">
        <v>2.1000000000000001E-2</v>
      </c>
      <c r="P703">
        <v>1.004</v>
      </c>
      <c r="Q703">
        <v>4.2050000000000001</v>
      </c>
      <c r="R703">
        <v>91.662999999999997</v>
      </c>
      <c r="S703">
        <v>8.3369999999999997</v>
      </c>
      <c r="T703">
        <v>538.78</v>
      </c>
      <c r="U703">
        <v>0.44</v>
      </c>
      <c r="V703">
        <v>100</v>
      </c>
      <c r="W703">
        <v>14.5</v>
      </c>
      <c r="X703">
        <v>20.2</v>
      </c>
    </row>
    <row r="704" spans="1:25" x14ac:dyDescent="0.25">
      <c r="A704" t="s">
        <v>95</v>
      </c>
      <c r="B704" t="s">
        <v>38</v>
      </c>
      <c r="C704" t="s">
        <v>35</v>
      </c>
      <c r="D704">
        <v>2003</v>
      </c>
      <c r="E704">
        <v>16366914</v>
      </c>
      <c r="F704">
        <v>629811489833</v>
      </c>
      <c r="G704">
        <v>95.47</v>
      </c>
      <c r="H704">
        <v>112.46</v>
      </c>
      <c r="I704">
        <v>0.03</v>
      </c>
      <c r="J704">
        <v>1.32</v>
      </c>
      <c r="K704">
        <v>3.96</v>
      </c>
      <c r="L704">
        <v>7.0000000000000007E-2</v>
      </c>
      <c r="M704">
        <v>4.0199999999999996</v>
      </c>
      <c r="N704">
        <v>87.49</v>
      </c>
      <c r="O704">
        <v>3.1E-2</v>
      </c>
      <c r="P704">
        <v>1.383</v>
      </c>
      <c r="Q704">
        <v>4.1479999999999997</v>
      </c>
      <c r="R704">
        <v>91.641000000000005</v>
      </c>
      <c r="S704">
        <v>8.359</v>
      </c>
      <c r="T704">
        <v>540.79999999999995</v>
      </c>
      <c r="U704">
        <v>0.61</v>
      </c>
      <c r="V704">
        <v>50</v>
      </c>
      <c r="W704">
        <v>38.9</v>
      </c>
      <c r="X704">
        <v>-0.5</v>
      </c>
    </row>
    <row r="705" spans="1:25" x14ac:dyDescent="0.25">
      <c r="A705" t="s">
        <v>95</v>
      </c>
      <c r="B705" t="s">
        <v>38</v>
      </c>
      <c r="C705" t="s">
        <v>35</v>
      </c>
      <c r="D705">
        <v>2004</v>
      </c>
      <c r="E705">
        <v>16425562</v>
      </c>
      <c r="F705">
        <v>646331449347</v>
      </c>
      <c r="G705">
        <v>99.82</v>
      </c>
      <c r="H705">
        <v>116.04</v>
      </c>
      <c r="I705">
        <v>0.03</v>
      </c>
      <c r="J705">
        <v>1.87</v>
      </c>
      <c r="K705">
        <v>5.3</v>
      </c>
      <c r="L705">
        <v>0.09</v>
      </c>
      <c r="M705">
        <v>3.82</v>
      </c>
      <c r="N705">
        <v>90.7</v>
      </c>
      <c r="O705">
        <v>0.03</v>
      </c>
      <c r="P705">
        <v>1.873</v>
      </c>
      <c r="Q705">
        <v>5.31</v>
      </c>
      <c r="R705">
        <v>90.864000000000004</v>
      </c>
      <c r="S705">
        <v>9.1359999999999992</v>
      </c>
      <c r="T705">
        <v>522.74</v>
      </c>
      <c r="U705">
        <v>0.86</v>
      </c>
      <c r="V705">
        <v>0</v>
      </c>
      <c r="W705">
        <v>41.7</v>
      </c>
      <c r="X705">
        <v>33.799999999999997</v>
      </c>
    </row>
    <row r="706" spans="1:25" x14ac:dyDescent="0.25">
      <c r="A706" t="s">
        <v>95</v>
      </c>
      <c r="B706" t="s">
        <v>38</v>
      </c>
      <c r="C706" t="s">
        <v>35</v>
      </c>
      <c r="D706">
        <v>2005</v>
      </c>
      <c r="E706">
        <v>16465707</v>
      </c>
      <c r="F706">
        <v>664118269501</v>
      </c>
      <c r="G706">
        <v>98.53</v>
      </c>
      <c r="H706">
        <v>116.82</v>
      </c>
      <c r="I706">
        <v>0.04</v>
      </c>
      <c r="J706">
        <v>2.0699999999999998</v>
      </c>
      <c r="K706">
        <v>7.46</v>
      </c>
      <c r="L706">
        <v>0.09</v>
      </c>
      <c r="M706">
        <v>4</v>
      </c>
      <c r="N706">
        <v>87.07</v>
      </c>
      <c r="O706">
        <v>4.1000000000000002E-2</v>
      </c>
      <c r="P706">
        <v>2.101</v>
      </c>
      <c r="Q706">
        <v>7.5709999999999997</v>
      </c>
      <c r="R706">
        <v>88.369</v>
      </c>
      <c r="S706">
        <v>11.631</v>
      </c>
      <c r="T706">
        <v>511.72</v>
      </c>
      <c r="U706">
        <v>0.95</v>
      </c>
      <c r="V706">
        <v>33.299999999999997</v>
      </c>
      <c r="W706">
        <v>10.7</v>
      </c>
      <c r="X706">
        <v>40.799999999999997</v>
      </c>
    </row>
    <row r="707" spans="1:25" x14ac:dyDescent="0.25">
      <c r="A707" t="s">
        <v>95</v>
      </c>
      <c r="B707" t="s">
        <v>38</v>
      </c>
      <c r="C707" t="s">
        <v>35</v>
      </c>
      <c r="D707">
        <v>2006</v>
      </c>
      <c r="E707">
        <v>16493851</v>
      </c>
      <c r="F707">
        <v>691453801614</v>
      </c>
      <c r="G707">
        <v>97.52</v>
      </c>
      <c r="H707">
        <v>118.98</v>
      </c>
      <c r="I707">
        <v>0.04</v>
      </c>
      <c r="J707">
        <v>2.74</v>
      </c>
      <c r="K707">
        <v>8.06</v>
      </c>
      <c r="L707">
        <v>0.11</v>
      </c>
      <c r="M707">
        <v>3.47</v>
      </c>
      <c r="N707">
        <v>85.99</v>
      </c>
      <c r="O707">
        <v>4.1000000000000002E-2</v>
      </c>
      <c r="P707">
        <v>2.81</v>
      </c>
      <c r="Q707">
        <v>8.2650000000000006</v>
      </c>
      <c r="R707">
        <v>88.177000000000007</v>
      </c>
      <c r="S707">
        <v>11.823</v>
      </c>
      <c r="T707">
        <v>511.38</v>
      </c>
      <c r="U707">
        <v>1.25</v>
      </c>
      <c r="V707">
        <v>0</v>
      </c>
      <c r="W707">
        <v>32.4</v>
      </c>
      <c r="X707">
        <v>8</v>
      </c>
    </row>
    <row r="708" spans="1:25" x14ac:dyDescent="0.25">
      <c r="A708" t="s">
        <v>95</v>
      </c>
      <c r="B708" t="s">
        <v>38</v>
      </c>
      <c r="C708" t="s">
        <v>35</v>
      </c>
      <c r="D708">
        <v>2007</v>
      </c>
      <c r="E708">
        <v>16531360</v>
      </c>
      <c r="F708">
        <v>721200009128</v>
      </c>
      <c r="G708">
        <v>103.68</v>
      </c>
      <c r="H708">
        <v>121.29</v>
      </c>
      <c r="I708">
        <v>0.04</v>
      </c>
      <c r="J708">
        <v>3.44</v>
      </c>
      <c r="K708">
        <v>7.59</v>
      </c>
      <c r="L708">
        <v>0.11</v>
      </c>
      <c r="M708">
        <v>4.2</v>
      </c>
      <c r="N708">
        <v>91.89</v>
      </c>
      <c r="O708">
        <v>3.9E-2</v>
      </c>
      <c r="P708">
        <v>3.3180000000000001</v>
      </c>
      <c r="Q708">
        <v>7.3209999999999997</v>
      </c>
      <c r="R708">
        <v>88.628</v>
      </c>
      <c r="S708">
        <v>11.372</v>
      </c>
      <c r="T708">
        <v>509.74</v>
      </c>
      <c r="U708">
        <v>1.57</v>
      </c>
      <c r="V708">
        <v>0</v>
      </c>
      <c r="W708">
        <v>25.5</v>
      </c>
      <c r="X708">
        <v>-5.8</v>
      </c>
    </row>
    <row r="709" spans="1:25" x14ac:dyDescent="0.25">
      <c r="A709" t="s">
        <v>95</v>
      </c>
      <c r="B709" t="s">
        <v>38</v>
      </c>
      <c r="C709" t="s">
        <v>35</v>
      </c>
      <c r="D709">
        <v>2008</v>
      </c>
      <c r="E709">
        <v>16597259</v>
      </c>
      <c r="F709">
        <v>737705013303</v>
      </c>
      <c r="G709">
        <v>106.21</v>
      </c>
      <c r="H709">
        <v>122.06</v>
      </c>
      <c r="I709">
        <v>0.04</v>
      </c>
      <c r="J709">
        <v>4.26</v>
      </c>
      <c r="K709">
        <v>9.5299999999999994</v>
      </c>
      <c r="L709">
        <v>0.1</v>
      </c>
      <c r="M709">
        <v>4.17</v>
      </c>
      <c r="N709">
        <v>92.51</v>
      </c>
      <c r="O709">
        <v>3.7999999999999999E-2</v>
      </c>
      <c r="P709">
        <v>4.0110000000000001</v>
      </c>
      <c r="Q709">
        <v>8.9730000000000008</v>
      </c>
      <c r="R709">
        <v>87.100999999999999</v>
      </c>
      <c r="S709">
        <v>12.898999999999999</v>
      </c>
      <c r="T709">
        <v>494.4</v>
      </c>
      <c r="U709">
        <v>1.94</v>
      </c>
      <c r="V709">
        <v>0</v>
      </c>
      <c r="W709">
        <v>23.8</v>
      </c>
      <c r="X709">
        <v>25.6</v>
      </c>
    </row>
    <row r="710" spans="1:25" x14ac:dyDescent="0.25">
      <c r="A710" t="s">
        <v>95</v>
      </c>
      <c r="B710" t="s">
        <v>38</v>
      </c>
      <c r="C710" t="s">
        <v>35</v>
      </c>
      <c r="D710">
        <v>2009</v>
      </c>
      <c r="E710">
        <v>16684148</v>
      </c>
      <c r="F710">
        <v>713986817901</v>
      </c>
      <c r="G710">
        <v>112.35</v>
      </c>
      <c r="H710">
        <v>117.24</v>
      </c>
      <c r="I710">
        <v>0.04</v>
      </c>
      <c r="J710">
        <v>4.58</v>
      </c>
      <c r="K710">
        <v>10.83</v>
      </c>
      <c r="L710">
        <v>0.1</v>
      </c>
      <c r="M710">
        <v>4.25</v>
      </c>
      <c r="N710">
        <v>97.27</v>
      </c>
      <c r="O710">
        <v>3.5999999999999997E-2</v>
      </c>
      <c r="P710">
        <v>4.077</v>
      </c>
      <c r="Q710">
        <v>9.64</v>
      </c>
      <c r="R710">
        <v>86.578000000000003</v>
      </c>
      <c r="S710">
        <v>13.422000000000001</v>
      </c>
      <c r="T710">
        <v>486.69</v>
      </c>
      <c r="U710">
        <v>2.08</v>
      </c>
      <c r="V710">
        <v>0</v>
      </c>
      <c r="W710">
        <v>7.5</v>
      </c>
      <c r="X710">
        <v>13.6</v>
      </c>
    </row>
    <row r="711" spans="1:25" x14ac:dyDescent="0.25">
      <c r="A711" t="s">
        <v>95</v>
      </c>
      <c r="B711" t="s">
        <v>38</v>
      </c>
      <c r="C711" t="s">
        <v>35</v>
      </c>
      <c r="D711">
        <v>2010</v>
      </c>
      <c r="E711">
        <v>16771232</v>
      </c>
      <c r="F711">
        <v>728193221597</v>
      </c>
      <c r="G711">
        <v>118.1</v>
      </c>
      <c r="H711">
        <v>120.88</v>
      </c>
      <c r="I711">
        <v>0.06</v>
      </c>
      <c r="J711">
        <v>3.99</v>
      </c>
      <c r="K711">
        <v>11.19</v>
      </c>
      <c r="L711">
        <v>0.1</v>
      </c>
      <c r="M711">
        <v>3.97</v>
      </c>
      <c r="N711">
        <v>102.94</v>
      </c>
      <c r="O711">
        <v>5.0999999999999997E-2</v>
      </c>
      <c r="P711">
        <v>3.3780000000000001</v>
      </c>
      <c r="Q711">
        <v>9.4749999999999996</v>
      </c>
      <c r="R711">
        <v>87.162999999999997</v>
      </c>
      <c r="S711">
        <v>12.837</v>
      </c>
      <c r="T711">
        <v>478.15</v>
      </c>
      <c r="U711">
        <v>1.82</v>
      </c>
      <c r="V711">
        <v>50</v>
      </c>
      <c r="W711">
        <v>-12.9</v>
      </c>
      <c r="X711">
        <v>3.3</v>
      </c>
    </row>
    <row r="712" spans="1:25" x14ac:dyDescent="0.25">
      <c r="A712" t="s">
        <v>95</v>
      </c>
      <c r="B712" t="s">
        <v>38</v>
      </c>
      <c r="C712" t="s">
        <v>35</v>
      </c>
      <c r="D712">
        <v>2011</v>
      </c>
      <c r="E712">
        <v>16851061</v>
      </c>
      <c r="F712">
        <v>744614396708</v>
      </c>
      <c r="G712">
        <v>112.64</v>
      </c>
      <c r="H712">
        <v>121.73</v>
      </c>
      <c r="I712">
        <v>0.1</v>
      </c>
      <c r="J712">
        <v>5.0999999999999996</v>
      </c>
      <c r="K712">
        <v>12.32</v>
      </c>
      <c r="L712">
        <v>0.06</v>
      </c>
      <c r="M712">
        <v>4.1399999999999997</v>
      </c>
      <c r="N712">
        <v>96.18</v>
      </c>
      <c r="O712">
        <v>8.8999999999999996E-2</v>
      </c>
      <c r="P712">
        <v>4.5279999999999996</v>
      </c>
      <c r="Q712">
        <v>10.938000000000001</v>
      </c>
      <c r="R712">
        <v>85.387</v>
      </c>
      <c r="S712">
        <v>14.613</v>
      </c>
      <c r="T712">
        <v>472.3</v>
      </c>
      <c r="U712">
        <v>2.34</v>
      </c>
      <c r="V712">
        <v>66.7</v>
      </c>
      <c r="W712">
        <v>27.8</v>
      </c>
      <c r="X712">
        <v>10.1</v>
      </c>
    </row>
    <row r="713" spans="1:25" x14ac:dyDescent="0.25">
      <c r="A713" t="s">
        <v>95</v>
      </c>
      <c r="B713" t="s">
        <v>38</v>
      </c>
      <c r="C713" t="s">
        <v>35</v>
      </c>
      <c r="D713">
        <v>2012</v>
      </c>
      <c r="E713">
        <v>16915191</v>
      </c>
      <c r="F713">
        <v>736942199791</v>
      </c>
      <c r="G713">
        <v>102.27</v>
      </c>
      <c r="H713">
        <v>119.38</v>
      </c>
      <c r="I713">
        <v>0.19</v>
      </c>
      <c r="J713">
        <v>4.9800000000000004</v>
      </c>
      <c r="K713">
        <v>12.47</v>
      </c>
      <c r="L713">
        <v>0.1</v>
      </c>
      <c r="M713">
        <v>3.91</v>
      </c>
      <c r="N713">
        <v>85.89</v>
      </c>
      <c r="O713">
        <v>0.186</v>
      </c>
      <c r="P713">
        <v>4.8689999999999998</v>
      </c>
      <c r="Q713">
        <v>12.193</v>
      </c>
      <c r="R713">
        <v>83.983999999999995</v>
      </c>
      <c r="S713">
        <v>16.015999999999998</v>
      </c>
      <c r="T713">
        <v>494.48</v>
      </c>
      <c r="U713">
        <v>2.33</v>
      </c>
      <c r="V713">
        <v>90</v>
      </c>
      <c r="W713">
        <v>-2.4</v>
      </c>
      <c r="X713">
        <v>1.2</v>
      </c>
    </row>
    <row r="714" spans="1:25" x14ac:dyDescent="0.25">
      <c r="A714" t="s">
        <v>95</v>
      </c>
      <c r="B714" t="s">
        <v>38</v>
      </c>
      <c r="C714" t="s">
        <v>35</v>
      </c>
      <c r="D714">
        <v>2013</v>
      </c>
      <c r="E714">
        <v>16967066</v>
      </c>
      <c r="F714">
        <v>735982982299</v>
      </c>
      <c r="G714">
        <v>100.56</v>
      </c>
      <c r="H714">
        <v>118.8</v>
      </c>
      <c r="I714">
        <v>0.41</v>
      </c>
      <c r="J714">
        <v>5.63</v>
      </c>
      <c r="K714">
        <v>12.1</v>
      </c>
      <c r="L714">
        <v>0.11</v>
      </c>
      <c r="M714">
        <v>2.89</v>
      </c>
      <c r="N714">
        <v>85.57</v>
      </c>
      <c r="O714">
        <v>0.40799999999999997</v>
      </c>
      <c r="P714">
        <v>5.5990000000000002</v>
      </c>
      <c r="Q714">
        <v>12.032999999999999</v>
      </c>
      <c r="R714">
        <v>85.093000000000004</v>
      </c>
      <c r="S714">
        <v>14.907</v>
      </c>
      <c r="T714">
        <v>500.6</v>
      </c>
      <c r="U714">
        <v>2.72</v>
      </c>
      <c r="V714">
        <v>115.8</v>
      </c>
      <c r="W714">
        <v>13.1</v>
      </c>
      <c r="X714">
        <v>-3</v>
      </c>
    </row>
    <row r="715" spans="1:25" x14ac:dyDescent="0.25">
      <c r="A715" t="s">
        <v>95</v>
      </c>
      <c r="B715" t="s">
        <v>38</v>
      </c>
      <c r="C715" t="s">
        <v>35</v>
      </c>
      <c r="D715">
        <v>2014</v>
      </c>
      <c r="E715">
        <v>17030085</v>
      </c>
      <c r="F715">
        <v>746458868661</v>
      </c>
      <c r="G715">
        <v>102.1</v>
      </c>
      <c r="H715">
        <v>116.83</v>
      </c>
      <c r="I715">
        <v>0.73</v>
      </c>
      <c r="J715">
        <v>5.8</v>
      </c>
      <c r="K715">
        <v>11.65</v>
      </c>
      <c r="L715">
        <v>0.11</v>
      </c>
      <c r="M715">
        <v>4.09</v>
      </c>
      <c r="N715">
        <v>86.36</v>
      </c>
      <c r="O715">
        <v>0.71499999999999997</v>
      </c>
      <c r="P715">
        <v>5.681</v>
      </c>
      <c r="Q715">
        <v>11.41</v>
      </c>
      <c r="R715">
        <v>84.584000000000003</v>
      </c>
      <c r="S715">
        <v>15.416</v>
      </c>
      <c r="T715">
        <v>521.25</v>
      </c>
      <c r="U715">
        <v>2.94</v>
      </c>
      <c r="V715">
        <v>78</v>
      </c>
      <c r="W715">
        <v>3</v>
      </c>
      <c r="X715">
        <v>-3.7</v>
      </c>
    </row>
    <row r="716" spans="1:25" x14ac:dyDescent="0.25">
      <c r="A716" t="s">
        <v>95</v>
      </c>
      <c r="B716" t="s">
        <v>38</v>
      </c>
      <c r="C716" t="s">
        <v>35</v>
      </c>
      <c r="D716">
        <v>2015</v>
      </c>
      <c r="E716">
        <v>17107429</v>
      </c>
      <c r="F716">
        <v>761083250759</v>
      </c>
      <c r="G716">
        <v>108.99</v>
      </c>
      <c r="H716">
        <v>117.74</v>
      </c>
      <c r="I716">
        <v>1.1100000000000001</v>
      </c>
      <c r="J716">
        <v>7.55</v>
      </c>
      <c r="K716">
        <v>13.69</v>
      </c>
      <c r="L716">
        <v>0.09</v>
      </c>
      <c r="M716">
        <v>4.08</v>
      </c>
      <c r="N716">
        <v>91.22</v>
      </c>
      <c r="O716">
        <v>1.018</v>
      </c>
      <c r="P716">
        <v>6.9269999999999996</v>
      </c>
      <c r="Q716">
        <v>12.561</v>
      </c>
      <c r="R716">
        <v>83.695999999999998</v>
      </c>
      <c r="S716">
        <v>16.303999999999998</v>
      </c>
      <c r="T716">
        <v>551.42999999999995</v>
      </c>
      <c r="U716">
        <v>3.9</v>
      </c>
      <c r="V716">
        <v>52.1</v>
      </c>
      <c r="W716">
        <v>30.2</v>
      </c>
      <c r="X716">
        <v>17.5</v>
      </c>
    </row>
    <row r="717" spans="1:25" x14ac:dyDescent="0.25">
      <c r="A717" t="s">
        <v>95</v>
      </c>
      <c r="B717" t="s">
        <v>38</v>
      </c>
      <c r="C717" t="s">
        <v>35</v>
      </c>
      <c r="D717">
        <v>2016</v>
      </c>
      <c r="E717">
        <v>17204693</v>
      </c>
      <c r="F717">
        <v>777764090323</v>
      </c>
      <c r="G717">
        <v>113.96</v>
      </c>
      <c r="H717">
        <v>118.87</v>
      </c>
      <c r="I717">
        <v>1.6</v>
      </c>
      <c r="J717">
        <v>8.17</v>
      </c>
      <c r="K717">
        <v>14.78</v>
      </c>
      <c r="L717">
        <v>0.1</v>
      </c>
      <c r="M717">
        <v>3.96</v>
      </c>
      <c r="N717">
        <v>95.22</v>
      </c>
      <c r="O717">
        <v>1.4039999999999999</v>
      </c>
      <c r="P717">
        <v>7.1689999999999996</v>
      </c>
      <c r="Q717">
        <v>12.968999999999999</v>
      </c>
      <c r="R717">
        <v>83.555999999999997</v>
      </c>
      <c r="S717">
        <v>16.443999999999999</v>
      </c>
      <c r="T717">
        <v>524.57000000000005</v>
      </c>
      <c r="U717">
        <v>4.4000000000000004</v>
      </c>
      <c r="V717">
        <v>44.1</v>
      </c>
      <c r="W717">
        <v>8.1999999999999993</v>
      </c>
      <c r="X717">
        <v>8</v>
      </c>
    </row>
    <row r="718" spans="1:25" x14ac:dyDescent="0.25">
      <c r="A718" t="s">
        <v>95</v>
      </c>
      <c r="B718" t="s">
        <v>38</v>
      </c>
      <c r="C718" t="s">
        <v>35</v>
      </c>
      <c r="D718">
        <v>2017</v>
      </c>
      <c r="E718">
        <v>17315376</v>
      </c>
      <c r="F718">
        <v>800404023156</v>
      </c>
      <c r="G718">
        <v>116.04</v>
      </c>
      <c r="H718">
        <v>119.55</v>
      </c>
      <c r="I718">
        <v>2.2000000000000002</v>
      </c>
      <c r="J718">
        <v>10.57</v>
      </c>
      <c r="K718">
        <v>17.43</v>
      </c>
      <c r="L718">
        <v>0.06</v>
      </c>
      <c r="M718">
        <v>3.4</v>
      </c>
      <c r="N718">
        <v>95.21</v>
      </c>
      <c r="O718">
        <v>1.8959999999999999</v>
      </c>
      <c r="P718">
        <v>9.109</v>
      </c>
      <c r="Q718">
        <v>15.021000000000001</v>
      </c>
      <c r="R718">
        <v>82.049000000000007</v>
      </c>
      <c r="S718">
        <v>17.951000000000001</v>
      </c>
      <c r="T718">
        <v>489.66</v>
      </c>
      <c r="U718">
        <v>5.75</v>
      </c>
      <c r="V718">
        <v>37.5</v>
      </c>
      <c r="W718">
        <v>29.4</v>
      </c>
      <c r="X718">
        <v>17.899999999999999</v>
      </c>
    </row>
    <row r="719" spans="1:25" x14ac:dyDescent="0.25">
      <c r="A719" t="s">
        <v>95</v>
      </c>
      <c r="B719" t="s">
        <v>38</v>
      </c>
      <c r="C719" t="s">
        <v>35</v>
      </c>
      <c r="D719">
        <v>2018</v>
      </c>
      <c r="E719">
        <v>17421285</v>
      </c>
      <c r="F719">
        <v>819300805024</v>
      </c>
      <c r="G719">
        <v>113.1</v>
      </c>
      <c r="H719">
        <v>121.07</v>
      </c>
      <c r="I719">
        <v>3.71</v>
      </c>
      <c r="J719">
        <v>10.55</v>
      </c>
      <c r="K719">
        <v>18.88</v>
      </c>
      <c r="L719">
        <v>7.0000000000000007E-2</v>
      </c>
      <c r="M719">
        <v>3.51</v>
      </c>
      <c r="N719">
        <v>90.71</v>
      </c>
      <c r="O719">
        <v>3.28</v>
      </c>
      <c r="P719">
        <v>9.3279999999999994</v>
      </c>
      <c r="Q719">
        <v>16.693000000000001</v>
      </c>
      <c r="R719">
        <v>80.203000000000003</v>
      </c>
      <c r="S719">
        <v>19.797000000000001</v>
      </c>
      <c r="T719">
        <v>467.11</v>
      </c>
      <c r="U719">
        <v>6.42</v>
      </c>
      <c r="V719">
        <v>68.599999999999994</v>
      </c>
      <c r="W719">
        <v>-0.2</v>
      </c>
      <c r="X719">
        <v>8.3000000000000007</v>
      </c>
    </row>
    <row r="720" spans="1:25" x14ac:dyDescent="0.25">
      <c r="A720" t="s">
        <v>95</v>
      </c>
      <c r="B720" t="s">
        <v>38</v>
      </c>
      <c r="C720" t="s">
        <v>35</v>
      </c>
      <c r="D720">
        <v>2019</v>
      </c>
      <c r="E720">
        <v>17537505</v>
      </c>
      <c r="F720">
        <v>835323029559</v>
      </c>
      <c r="G720">
        <v>120.05</v>
      </c>
      <c r="H720">
        <v>120.91</v>
      </c>
      <c r="I720">
        <v>5.4</v>
      </c>
      <c r="J720">
        <v>11.51</v>
      </c>
      <c r="K720">
        <v>22.8</v>
      </c>
      <c r="L720">
        <v>7.0000000000000007E-2</v>
      </c>
      <c r="M720">
        <v>3.91</v>
      </c>
      <c r="N720">
        <v>93.34</v>
      </c>
      <c r="O720">
        <v>4.4980000000000002</v>
      </c>
      <c r="P720">
        <v>9.5879999999999992</v>
      </c>
      <c r="Q720">
        <v>18.992000000000001</v>
      </c>
      <c r="R720">
        <v>77.751000000000005</v>
      </c>
      <c r="S720">
        <v>22.248999999999999</v>
      </c>
      <c r="T720">
        <v>410</v>
      </c>
      <c r="U720">
        <v>7.61</v>
      </c>
      <c r="V720">
        <v>45.6</v>
      </c>
      <c r="W720">
        <v>9.1</v>
      </c>
      <c r="X720">
        <v>20.8</v>
      </c>
      <c r="Y720" t="s">
        <v>96</v>
      </c>
    </row>
    <row r="721" spans="1:25" x14ac:dyDescent="0.25">
      <c r="A721" t="s">
        <v>95</v>
      </c>
      <c r="B721" t="s">
        <v>38</v>
      </c>
      <c r="C721" t="s">
        <v>35</v>
      </c>
      <c r="D721">
        <v>2020</v>
      </c>
      <c r="E721">
        <v>17636732</v>
      </c>
      <c r="F721">
        <v>802861622095</v>
      </c>
      <c r="G721">
        <v>121.96</v>
      </c>
      <c r="H721">
        <v>119.3</v>
      </c>
      <c r="I721">
        <v>8.57</v>
      </c>
      <c r="J721">
        <v>15.27</v>
      </c>
      <c r="K721">
        <v>32.729999999999997</v>
      </c>
      <c r="L721">
        <v>0.05</v>
      </c>
      <c r="M721">
        <v>4.09</v>
      </c>
      <c r="N721">
        <v>85.14</v>
      </c>
      <c r="O721">
        <v>7.0270000000000001</v>
      </c>
      <c r="P721">
        <v>12.52</v>
      </c>
      <c r="Q721">
        <v>26.837</v>
      </c>
      <c r="R721">
        <v>69.81</v>
      </c>
      <c r="S721">
        <v>30.19</v>
      </c>
      <c r="T721">
        <v>342.9</v>
      </c>
      <c r="U721">
        <v>10.73</v>
      </c>
      <c r="V721">
        <v>58.7</v>
      </c>
      <c r="W721">
        <v>32.700000000000003</v>
      </c>
      <c r="X721">
        <v>43.6</v>
      </c>
    </row>
    <row r="722" spans="1:25" x14ac:dyDescent="0.25">
      <c r="A722" t="s">
        <v>95</v>
      </c>
      <c r="B722" t="s">
        <v>38</v>
      </c>
      <c r="C722" t="s">
        <v>35</v>
      </c>
      <c r="D722">
        <v>2021</v>
      </c>
      <c r="E722">
        <v>17730565</v>
      </c>
      <c r="F722">
        <v>841906706612</v>
      </c>
      <c r="G722">
        <v>120.89</v>
      </c>
      <c r="H722">
        <v>121.14</v>
      </c>
      <c r="I722">
        <v>11.3</v>
      </c>
      <c r="J722">
        <v>18.13</v>
      </c>
      <c r="K722">
        <v>40.44</v>
      </c>
      <c r="L722">
        <v>0.09</v>
      </c>
      <c r="M722">
        <v>3.83</v>
      </c>
      <c r="N722">
        <v>76.62</v>
      </c>
      <c r="O722">
        <v>9.3469999999999995</v>
      </c>
      <c r="P722">
        <v>14.997</v>
      </c>
      <c r="Q722">
        <v>33.451999999999998</v>
      </c>
      <c r="R722">
        <v>63.38</v>
      </c>
      <c r="S722">
        <v>36.619999999999997</v>
      </c>
      <c r="T722">
        <v>351.97</v>
      </c>
      <c r="U722">
        <v>13.24</v>
      </c>
      <c r="V722">
        <v>31.9</v>
      </c>
      <c r="W722">
        <v>18.7</v>
      </c>
      <c r="X722">
        <v>23.6</v>
      </c>
    </row>
    <row r="723" spans="1:25" x14ac:dyDescent="0.25">
      <c r="A723" t="s">
        <v>95</v>
      </c>
      <c r="B723" t="s">
        <v>38</v>
      </c>
      <c r="C723" t="s">
        <v>35</v>
      </c>
      <c r="D723">
        <v>2022</v>
      </c>
      <c r="E723">
        <v>17904421</v>
      </c>
      <c r="F723">
        <v>879609110665</v>
      </c>
      <c r="G723">
        <v>119.96</v>
      </c>
      <c r="H723">
        <v>115.69</v>
      </c>
      <c r="I723">
        <v>16.66</v>
      </c>
      <c r="J723">
        <v>21.57</v>
      </c>
      <c r="K723">
        <v>48.1</v>
      </c>
      <c r="L723">
        <v>0.05</v>
      </c>
      <c r="M723">
        <v>4.16</v>
      </c>
      <c r="N723">
        <v>67.7</v>
      </c>
      <c r="O723">
        <v>13.888</v>
      </c>
      <c r="P723">
        <v>17.981000000000002</v>
      </c>
      <c r="Q723">
        <v>40.097000000000001</v>
      </c>
      <c r="R723">
        <v>56.435000000000002</v>
      </c>
      <c r="S723">
        <v>43.564999999999998</v>
      </c>
      <c r="T723">
        <v>325.61</v>
      </c>
      <c r="U723">
        <v>17.2</v>
      </c>
      <c r="V723">
        <v>47.4</v>
      </c>
      <c r="W723">
        <v>19</v>
      </c>
      <c r="X723">
        <v>18.899999999999999</v>
      </c>
    </row>
    <row r="724" spans="1:25" x14ac:dyDescent="0.25">
      <c r="A724" t="s">
        <v>95</v>
      </c>
      <c r="B724" t="s">
        <v>38</v>
      </c>
      <c r="C724" t="s">
        <v>35</v>
      </c>
      <c r="D724">
        <v>2023</v>
      </c>
      <c r="E724">
        <v>18092526</v>
      </c>
      <c r="G724">
        <v>119.96</v>
      </c>
      <c r="H724">
        <v>114.3</v>
      </c>
      <c r="I724">
        <v>19.61</v>
      </c>
      <c r="J724">
        <v>29.52</v>
      </c>
      <c r="K724">
        <v>56.84</v>
      </c>
      <c r="L724">
        <v>7.0000000000000007E-2</v>
      </c>
      <c r="M724">
        <v>3.99</v>
      </c>
      <c r="N724">
        <v>59.13</v>
      </c>
      <c r="O724">
        <v>16.347000000000001</v>
      </c>
      <c r="P724">
        <v>24.608000000000001</v>
      </c>
      <c r="Q724">
        <v>47.381999999999998</v>
      </c>
      <c r="R724">
        <v>49.290999999999997</v>
      </c>
      <c r="S724">
        <v>50.709000000000003</v>
      </c>
      <c r="T724">
        <v>268.17</v>
      </c>
      <c r="U724">
        <v>22.11</v>
      </c>
      <c r="V724">
        <v>17.7</v>
      </c>
      <c r="W724">
        <v>36.9</v>
      </c>
      <c r="X724">
        <v>18.2</v>
      </c>
    </row>
    <row r="725" spans="1:25" x14ac:dyDescent="0.25">
      <c r="A725" t="s">
        <v>95</v>
      </c>
      <c r="B725" t="s">
        <v>38</v>
      </c>
      <c r="C725" t="s">
        <v>35</v>
      </c>
      <c r="D725">
        <v>2024</v>
      </c>
      <c r="E725">
        <v>18228740</v>
      </c>
      <c r="G725">
        <v>122.33</v>
      </c>
      <c r="H725">
        <v>118.11</v>
      </c>
      <c r="I725">
        <v>21.82</v>
      </c>
      <c r="J725">
        <v>33.479999999999997</v>
      </c>
      <c r="K725">
        <v>62.07</v>
      </c>
      <c r="L725">
        <v>0.09</v>
      </c>
      <c r="M725">
        <v>3.57</v>
      </c>
      <c r="N725">
        <v>56.69</v>
      </c>
      <c r="O725">
        <v>17.837</v>
      </c>
      <c r="P725">
        <v>27.369</v>
      </c>
      <c r="Q725">
        <v>50.74</v>
      </c>
      <c r="R725">
        <v>46.341999999999999</v>
      </c>
      <c r="S725">
        <v>53.658000000000001</v>
      </c>
      <c r="T725">
        <v>250.72</v>
      </c>
      <c r="U725">
        <v>24.88</v>
      </c>
      <c r="V725">
        <v>11.3</v>
      </c>
      <c r="W725">
        <v>13.4</v>
      </c>
      <c r="X725">
        <v>9.1999999999999993</v>
      </c>
    </row>
    <row r="726" spans="1:25" x14ac:dyDescent="0.25">
      <c r="A726" t="s">
        <v>95</v>
      </c>
      <c r="B726" t="s">
        <v>38</v>
      </c>
      <c r="C726" t="s">
        <v>35</v>
      </c>
      <c r="D726">
        <v>2025</v>
      </c>
      <c r="E726">
        <v>18346823</v>
      </c>
      <c r="G726">
        <v>134.96</v>
      </c>
      <c r="H726">
        <v>121.11</v>
      </c>
      <c r="I726">
        <v>28.5</v>
      </c>
      <c r="J726">
        <v>33.700000000000003</v>
      </c>
      <c r="K726">
        <v>69.099999999999994</v>
      </c>
      <c r="L726">
        <v>0.05</v>
      </c>
      <c r="M726">
        <v>3.99</v>
      </c>
      <c r="N726">
        <v>61.87</v>
      </c>
      <c r="O726">
        <v>21.117000000000001</v>
      </c>
      <c r="P726">
        <v>24.97</v>
      </c>
      <c r="Q726">
        <v>51.2</v>
      </c>
      <c r="R726">
        <v>45.843000000000004</v>
      </c>
      <c r="S726">
        <v>54.156999999999996</v>
      </c>
      <c r="T726">
        <v>253.56</v>
      </c>
      <c r="U726">
        <v>27.99</v>
      </c>
      <c r="V726">
        <v>30.6</v>
      </c>
      <c r="W726">
        <v>0.7</v>
      </c>
      <c r="X726">
        <v>11.3</v>
      </c>
    </row>
    <row r="727" spans="1:25" x14ac:dyDescent="0.25">
      <c r="A727" t="s">
        <v>97</v>
      </c>
      <c r="B727" t="s">
        <v>38</v>
      </c>
      <c r="C727" t="s">
        <v>35</v>
      </c>
      <c r="D727">
        <v>2000</v>
      </c>
      <c r="E727">
        <v>4490864</v>
      </c>
      <c r="F727">
        <v>242751277829</v>
      </c>
      <c r="G727">
        <v>142.52000000000001</v>
      </c>
      <c r="H727">
        <v>123.47</v>
      </c>
      <c r="I727">
        <v>0</v>
      </c>
      <c r="J727">
        <v>0.03</v>
      </c>
      <c r="K727">
        <v>142.11000000000001</v>
      </c>
      <c r="L727">
        <v>141.82</v>
      </c>
      <c r="M727">
        <v>0</v>
      </c>
      <c r="N727">
        <v>0.41</v>
      </c>
      <c r="O727">
        <v>0</v>
      </c>
      <c r="P727">
        <v>2.1000000000000001E-2</v>
      </c>
      <c r="Q727">
        <v>99.712000000000003</v>
      </c>
      <c r="R727">
        <v>0.28799999999999998</v>
      </c>
      <c r="S727">
        <v>99.712000000000003</v>
      </c>
      <c r="T727">
        <v>25.75</v>
      </c>
      <c r="U727">
        <v>0.01</v>
      </c>
    </row>
    <row r="728" spans="1:25" x14ac:dyDescent="0.25">
      <c r="A728" t="s">
        <v>97</v>
      </c>
      <c r="B728" t="s">
        <v>38</v>
      </c>
      <c r="C728" t="s">
        <v>35</v>
      </c>
      <c r="D728">
        <v>2001</v>
      </c>
      <c r="E728">
        <v>4513650</v>
      </c>
      <c r="F728">
        <v>255455331302</v>
      </c>
      <c r="G728">
        <v>121.32</v>
      </c>
      <c r="H728">
        <v>124.89</v>
      </c>
      <c r="I728">
        <v>0</v>
      </c>
      <c r="J728">
        <v>0.03</v>
      </c>
      <c r="K728">
        <v>120.74</v>
      </c>
      <c r="L728">
        <v>120.46</v>
      </c>
      <c r="M728">
        <v>0</v>
      </c>
      <c r="N728">
        <v>0.57999999999999996</v>
      </c>
      <c r="O728">
        <v>0</v>
      </c>
      <c r="P728">
        <v>2.5000000000000001E-2</v>
      </c>
      <c r="Q728">
        <v>99.522000000000006</v>
      </c>
      <c r="R728">
        <v>0.47799999999999998</v>
      </c>
      <c r="S728">
        <v>99.522000000000006</v>
      </c>
      <c r="T728">
        <v>26.87</v>
      </c>
      <c r="U728">
        <v>0.01</v>
      </c>
      <c r="W728">
        <v>0</v>
      </c>
      <c r="X728">
        <v>-15</v>
      </c>
    </row>
    <row r="729" spans="1:25" x14ac:dyDescent="0.25">
      <c r="A729" t="s">
        <v>97</v>
      </c>
      <c r="B729" t="s">
        <v>38</v>
      </c>
      <c r="C729" t="s">
        <v>35</v>
      </c>
      <c r="D729">
        <v>2002</v>
      </c>
      <c r="E729">
        <v>4538016</v>
      </c>
      <c r="F729">
        <v>267081351259</v>
      </c>
      <c r="G729">
        <v>130.24</v>
      </c>
      <c r="H729">
        <v>120.53</v>
      </c>
      <c r="I729">
        <v>0</v>
      </c>
      <c r="J729">
        <v>0.08</v>
      </c>
      <c r="K729">
        <v>129.69999999999999</v>
      </c>
      <c r="L729">
        <v>129.37</v>
      </c>
      <c r="M729">
        <v>0</v>
      </c>
      <c r="N729">
        <v>0.54</v>
      </c>
      <c r="O729">
        <v>0</v>
      </c>
      <c r="P729">
        <v>6.0999999999999999E-2</v>
      </c>
      <c r="Q729">
        <v>99.584999999999994</v>
      </c>
      <c r="R729">
        <v>0.41499999999999998</v>
      </c>
      <c r="S729">
        <v>99.584999999999994</v>
      </c>
      <c r="T729">
        <v>26.49</v>
      </c>
      <c r="U729">
        <v>0.04</v>
      </c>
      <c r="W729">
        <v>166.7</v>
      </c>
      <c r="X729">
        <v>7.4</v>
      </c>
    </row>
    <row r="730" spans="1:25" x14ac:dyDescent="0.25">
      <c r="A730" t="s">
        <v>97</v>
      </c>
      <c r="B730" t="s">
        <v>38</v>
      </c>
      <c r="C730" t="s">
        <v>35</v>
      </c>
      <c r="D730">
        <v>2003</v>
      </c>
      <c r="E730">
        <v>4564666</v>
      </c>
      <c r="F730">
        <v>277856282106</v>
      </c>
      <c r="G730">
        <v>106.67</v>
      </c>
      <c r="H730">
        <v>114.54</v>
      </c>
      <c r="I730">
        <v>0</v>
      </c>
      <c r="J730">
        <v>0.22</v>
      </c>
      <c r="K730">
        <v>106.03</v>
      </c>
      <c r="L730">
        <v>105.48</v>
      </c>
      <c r="M730">
        <v>0</v>
      </c>
      <c r="N730">
        <v>0.64</v>
      </c>
      <c r="O730">
        <v>0</v>
      </c>
      <c r="P730">
        <v>0.20599999999999999</v>
      </c>
      <c r="Q730">
        <v>99.4</v>
      </c>
      <c r="R730">
        <v>0.6</v>
      </c>
      <c r="S730">
        <v>99.4</v>
      </c>
      <c r="T730">
        <v>27.75</v>
      </c>
      <c r="U730">
        <v>0.1</v>
      </c>
      <c r="W730">
        <v>175</v>
      </c>
      <c r="X730">
        <v>-18.2</v>
      </c>
    </row>
    <row r="731" spans="1:25" x14ac:dyDescent="0.25">
      <c r="A731" t="s">
        <v>97</v>
      </c>
      <c r="B731" t="s">
        <v>38</v>
      </c>
      <c r="C731" t="s">
        <v>35</v>
      </c>
      <c r="D731">
        <v>2004</v>
      </c>
      <c r="E731">
        <v>4591739</v>
      </c>
      <c r="F731">
        <v>297743119876</v>
      </c>
      <c r="G731">
        <v>110.1</v>
      </c>
      <c r="H731">
        <v>121.55</v>
      </c>
      <c r="I731">
        <v>0</v>
      </c>
      <c r="J731">
        <v>0.25</v>
      </c>
      <c r="K731">
        <v>109.39</v>
      </c>
      <c r="L731">
        <v>108.78</v>
      </c>
      <c r="M731">
        <v>0</v>
      </c>
      <c r="N731">
        <v>0.71</v>
      </c>
      <c r="O731">
        <v>0</v>
      </c>
      <c r="P731">
        <v>0.22700000000000001</v>
      </c>
      <c r="Q731">
        <v>99.355000000000004</v>
      </c>
      <c r="R731">
        <v>0.64500000000000002</v>
      </c>
      <c r="S731">
        <v>99.355000000000004</v>
      </c>
      <c r="T731">
        <v>27.88</v>
      </c>
      <c r="U731">
        <v>0.11</v>
      </c>
      <c r="W731">
        <v>13.6</v>
      </c>
      <c r="X731">
        <v>3.2</v>
      </c>
    </row>
    <row r="732" spans="1:25" x14ac:dyDescent="0.25">
      <c r="A732" t="s">
        <v>97</v>
      </c>
      <c r="B732" t="s">
        <v>38</v>
      </c>
      <c r="C732" t="s">
        <v>35</v>
      </c>
      <c r="D732">
        <v>2005</v>
      </c>
      <c r="E732">
        <v>4623120</v>
      </c>
      <c r="F732">
        <v>314940774381</v>
      </c>
      <c r="G732">
        <v>137.25</v>
      </c>
      <c r="H732">
        <v>125.21</v>
      </c>
      <c r="I732">
        <v>0</v>
      </c>
      <c r="J732">
        <v>0.5</v>
      </c>
      <c r="K732">
        <v>136.52000000000001</v>
      </c>
      <c r="L732">
        <v>135.69</v>
      </c>
      <c r="M732">
        <v>0</v>
      </c>
      <c r="N732">
        <v>0.73</v>
      </c>
      <c r="O732">
        <v>0</v>
      </c>
      <c r="P732">
        <v>0.36399999999999999</v>
      </c>
      <c r="Q732">
        <v>99.468000000000004</v>
      </c>
      <c r="R732">
        <v>0.53200000000000003</v>
      </c>
      <c r="S732">
        <v>99.468000000000004</v>
      </c>
      <c r="T732">
        <v>26.96</v>
      </c>
      <c r="U732">
        <v>0.22</v>
      </c>
      <c r="W732">
        <v>100</v>
      </c>
      <c r="X732">
        <v>24.8</v>
      </c>
    </row>
    <row r="733" spans="1:25" x14ac:dyDescent="0.25">
      <c r="A733" t="s">
        <v>97</v>
      </c>
      <c r="B733" t="s">
        <v>38</v>
      </c>
      <c r="C733" t="s">
        <v>35</v>
      </c>
      <c r="D733">
        <v>2006</v>
      </c>
      <c r="E733">
        <v>4660487</v>
      </c>
      <c r="F733">
        <v>332457531096</v>
      </c>
      <c r="G733">
        <v>121.22</v>
      </c>
      <c r="H733">
        <v>122.07</v>
      </c>
      <c r="I733">
        <v>0</v>
      </c>
      <c r="J733">
        <v>0.64</v>
      </c>
      <c r="K733">
        <v>120.4</v>
      </c>
      <c r="L733">
        <v>119.37</v>
      </c>
      <c r="M733">
        <v>0</v>
      </c>
      <c r="N733">
        <v>0.82</v>
      </c>
      <c r="O733">
        <v>0</v>
      </c>
      <c r="P733">
        <v>0.52800000000000002</v>
      </c>
      <c r="Q733">
        <v>99.323999999999998</v>
      </c>
      <c r="R733">
        <v>0.67600000000000005</v>
      </c>
      <c r="S733">
        <v>99.323999999999998</v>
      </c>
      <c r="T733">
        <v>27.88</v>
      </c>
      <c r="U733">
        <v>0.28999999999999998</v>
      </c>
      <c r="W733">
        <v>28</v>
      </c>
      <c r="X733">
        <v>-11.8</v>
      </c>
    </row>
    <row r="734" spans="1:25" x14ac:dyDescent="0.25">
      <c r="A734" t="s">
        <v>97</v>
      </c>
      <c r="B734" t="s">
        <v>38</v>
      </c>
      <c r="C734" t="s">
        <v>35</v>
      </c>
      <c r="D734">
        <v>2007</v>
      </c>
      <c r="E734">
        <v>4709017</v>
      </c>
      <c r="F734">
        <v>352692911227</v>
      </c>
      <c r="G734">
        <v>136.11000000000001</v>
      </c>
      <c r="H734">
        <v>126.08</v>
      </c>
      <c r="I734">
        <v>0</v>
      </c>
      <c r="J734">
        <v>0.89</v>
      </c>
      <c r="K734">
        <v>134.94</v>
      </c>
      <c r="L734">
        <v>133.66</v>
      </c>
      <c r="M734">
        <v>0</v>
      </c>
      <c r="N734">
        <v>1.17</v>
      </c>
      <c r="O734">
        <v>0</v>
      </c>
      <c r="P734">
        <v>0.65400000000000003</v>
      </c>
      <c r="Q734">
        <v>99.14</v>
      </c>
      <c r="R734">
        <v>0.86</v>
      </c>
      <c r="S734">
        <v>99.14</v>
      </c>
      <c r="T734">
        <v>28.58</v>
      </c>
      <c r="U734">
        <v>0.4</v>
      </c>
      <c r="W734">
        <v>39.1</v>
      </c>
      <c r="X734">
        <v>12.1</v>
      </c>
    </row>
    <row r="735" spans="1:25" x14ac:dyDescent="0.25">
      <c r="A735" t="s">
        <v>97</v>
      </c>
      <c r="B735" t="s">
        <v>38</v>
      </c>
      <c r="C735" t="s">
        <v>35</v>
      </c>
      <c r="D735">
        <v>2008</v>
      </c>
      <c r="E735">
        <v>4768097</v>
      </c>
      <c r="F735">
        <v>364943654963</v>
      </c>
      <c r="G735">
        <v>141.19</v>
      </c>
      <c r="H735">
        <v>127.33</v>
      </c>
      <c r="I735">
        <v>0</v>
      </c>
      <c r="J735">
        <v>0.91</v>
      </c>
      <c r="K735">
        <v>140.35</v>
      </c>
      <c r="L735">
        <v>139.04</v>
      </c>
      <c r="M735">
        <v>0</v>
      </c>
      <c r="N735">
        <v>0.84</v>
      </c>
      <c r="O735">
        <v>0</v>
      </c>
      <c r="P735">
        <v>0.64500000000000002</v>
      </c>
      <c r="Q735">
        <v>99.405000000000001</v>
      </c>
      <c r="R735">
        <v>0.59499999999999997</v>
      </c>
      <c r="S735">
        <v>99.405000000000001</v>
      </c>
      <c r="T735">
        <v>27.48</v>
      </c>
      <c r="U735">
        <v>0.41</v>
      </c>
      <c r="W735">
        <v>2.2000000000000002</v>
      </c>
      <c r="X735">
        <v>4</v>
      </c>
      <c r="Y735" t="s">
        <v>98</v>
      </c>
    </row>
    <row r="736" spans="1:25" x14ac:dyDescent="0.25">
      <c r="A736" t="s">
        <v>97</v>
      </c>
      <c r="B736" t="s">
        <v>38</v>
      </c>
      <c r="C736" t="s">
        <v>35</v>
      </c>
      <c r="D736">
        <v>2009</v>
      </c>
      <c r="E736">
        <v>4828625</v>
      </c>
      <c r="F736">
        <v>370113292846</v>
      </c>
      <c r="G736">
        <v>130.97</v>
      </c>
      <c r="H736">
        <v>121.99</v>
      </c>
      <c r="I736">
        <v>0</v>
      </c>
      <c r="J736">
        <v>0.97</v>
      </c>
      <c r="K736">
        <v>126.48</v>
      </c>
      <c r="L736">
        <v>125.28</v>
      </c>
      <c r="M736">
        <v>0</v>
      </c>
      <c r="N736">
        <v>4.49</v>
      </c>
      <c r="O736">
        <v>0</v>
      </c>
      <c r="P736">
        <v>0.74099999999999999</v>
      </c>
      <c r="Q736">
        <v>96.572000000000003</v>
      </c>
      <c r="R736">
        <v>3.4279999999999999</v>
      </c>
      <c r="S736">
        <v>96.572000000000003</v>
      </c>
      <c r="T736">
        <v>39.090000000000003</v>
      </c>
      <c r="U736">
        <v>0.44</v>
      </c>
      <c r="W736">
        <v>6.6</v>
      </c>
      <c r="X736">
        <v>-9.9</v>
      </c>
    </row>
    <row r="737" spans="1:24" x14ac:dyDescent="0.25">
      <c r="A737" t="s">
        <v>97</v>
      </c>
      <c r="B737" t="s">
        <v>38</v>
      </c>
      <c r="C737" t="s">
        <v>35</v>
      </c>
      <c r="D737">
        <v>2010</v>
      </c>
      <c r="E737">
        <v>4889160</v>
      </c>
      <c r="F737">
        <v>383760934305</v>
      </c>
      <c r="G737">
        <v>123.14</v>
      </c>
      <c r="H737">
        <v>130.69</v>
      </c>
      <c r="I737">
        <v>0</v>
      </c>
      <c r="J737">
        <v>0.87</v>
      </c>
      <c r="K737">
        <v>117.96</v>
      </c>
      <c r="L737">
        <v>116.74</v>
      </c>
      <c r="M737">
        <v>0</v>
      </c>
      <c r="N737">
        <v>5.18</v>
      </c>
      <c r="O737">
        <v>0</v>
      </c>
      <c r="P737">
        <v>0.70699999999999996</v>
      </c>
      <c r="Q737">
        <v>95.793000000000006</v>
      </c>
      <c r="R737">
        <v>4.2069999999999999</v>
      </c>
      <c r="S737">
        <v>95.793000000000006</v>
      </c>
      <c r="T737">
        <v>42.88</v>
      </c>
      <c r="U737">
        <v>0.39</v>
      </c>
      <c r="W737">
        <v>-10.3</v>
      </c>
      <c r="X737">
        <v>-6.7</v>
      </c>
    </row>
    <row r="738" spans="1:24" x14ac:dyDescent="0.25">
      <c r="A738" t="s">
        <v>97</v>
      </c>
      <c r="B738" t="s">
        <v>38</v>
      </c>
      <c r="C738" t="s">
        <v>35</v>
      </c>
      <c r="D738">
        <v>2011</v>
      </c>
      <c r="E738">
        <v>4952969</v>
      </c>
      <c r="F738">
        <v>399420041611</v>
      </c>
      <c r="G738">
        <v>125.93</v>
      </c>
      <c r="H738">
        <v>122.85</v>
      </c>
      <c r="I738">
        <v>0</v>
      </c>
      <c r="J738">
        <v>1.29</v>
      </c>
      <c r="K738">
        <v>121.91</v>
      </c>
      <c r="L738">
        <v>120.28</v>
      </c>
      <c r="M738">
        <v>0</v>
      </c>
      <c r="N738">
        <v>4.0199999999999996</v>
      </c>
      <c r="O738">
        <v>0</v>
      </c>
      <c r="P738">
        <v>1.024</v>
      </c>
      <c r="Q738">
        <v>96.808000000000007</v>
      </c>
      <c r="R738">
        <v>3.1920000000000002</v>
      </c>
      <c r="S738">
        <v>96.808000000000007</v>
      </c>
      <c r="T738">
        <v>38.36</v>
      </c>
      <c r="U738">
        <v>0.57999999999999996</v>
      </c>
      <c r="W738">
        <v>48.3</v>
      </c>
      <c r="X738">
        <v>3.3</v>
      </c>
    </row>
    <row r="739" spans="1:24" x14ac:dyDescent="0.25">
      <c r="A739" t="s">
        <v>97</v>
      </c>
      <c r="B739" t="s">
        <v>38</v>
      </c>
      <c r="C739" t="s">
        <v>35</v>
      </c>
      <c r="D739">
        <v>2012</v>
      </c>
      <c r="E739">
        <v>5018453</v>
      </c>
      <c r="F739">
        <v>410276121127</v>
      </c>
      <c r="G739">
        <v>146.18</v>
      </c>
      <c r="H739">
        <v>128.36000000000001</v>
      </c>
      <c r="I739">
        <v>0</v>
      </c>
      <c r="J739">
        <v>1.54</v>
      </c>
      <c r="K739">
        <v>143.59</v>
      </c>
      <c r="L739">
        <v>141.72</v>
      </c>
      <c r="M739">
        <v>0</v>
      </c>
      <c r="N739">
        <v>2.59</v>
      </c>
      <c r="O739">
        <v>0</v>
      </c>
      <c r="P739">
        <v>1.0529999999999999</v>
      </c>
      <c r="Q739">
        <v>98.227999999999994</v>
      </c>
      <c r="R739">
        <v>1.772</v>
      </c>
      <c r="S739">
        <v>98.227999999999994</v>
      </c>
      <c r="T739">
        <v>32.15</v>
      </c>
      <c r="U739">
        <v>0.69</v>
      </c>
      <c r="W739">
        <v>19.399999999999999</v>
      </c>
      <c r="X739">
        <v>17.8</v>
      </c>
    </row>
    <row r="740" spans="1:24" x14ac:dyDescent="0.25">
      <c r="A740" t="s">
        <v>97</v>
      </c>
      <c r="B740" t="s">
        <v>38</v>
      </c>
      <c r="C740" t="s">
        <v>35</v>
      </c>
      <c r="D740">
        <v>2013</v>
      </c>
      <c r="E740">
        <v>5080126</v>
      </c>
      <c r="F740">
        <v>414445317738</v>
      </c>
      <c r="G740">
        <v>133.13999999999999</v>
      </c>
      <c r="H740">
        <v>128.13</v>
      </c>
      <c r="I740">
        <v>0</v>
      </c>
      <c r="J740">
        <v>1.88</v>
      </c>
      <c r="K740">
        <v>130.41999999999999</v>
      </c>
      <c r="L740">
        <v>128.13999999999999</v>
      </c>
      <c r="M740">
        <v>0</v>
      </c>
      <c r="N740">
        <v>2.72</v>
      </c>
      <c r="O740">
        <v>0</v>
      </c>
      <c r="P740">
        <v>1.4119999999999999</v>
      </c>
      <c r="Q740">
        <v>97.956999999999994</v>
      </c>
      <c r="R740">
        <v>2.0430000000000001</v>
      </c>
      <c r="S740">
        <v>97.956999999999994</v>
      </c>
      <c r="T740">
        <v>33.950000000000003</v>
      </c>
      <c r="U740">
        <v>0.85</v>
      </c>
      <c r="W740">
        <v>22.1</v>
      </c>
      <c r="X740">
        <v>-9.1999999999999993</v>
      </c>
    </row>
    <row r="741" spans="1:24" x14ac:dyDescent="0.25">
      <c r="A741" t="s">
        <v>97</v>
      </c>
      <c r="B741" t="s">
        <v>38</v>
      </c>
      <c r="C741" t="s">
        <v>35</v>
      </c>
      <c r="D741">
        <v>2014</v>
      </c>
      <c r="E741">
        <v>5137397</v>
      </c>
      <c r="F741">
        <v>422933730082</v>
      </c>
      <c r="G741">
        <v>140.88</v>
      </c>
      <c r="H741">
        <v>125.3</v>
      </c>
      <c r="I741">
        <v>0</v>
      </c>
      <c r="J741">
        <v>2.2200000000000002</v>
      </c>
      <c r="K741">
        <v>137.94</v>
      </c>
      <c r="L741">
        <v>135.47</v>
      </c>
      <c r="M741">
        <v>0</v>
      </c>
      <c r="N741">
        <v>2.94</v>
      </c>
      <c r="O741">
        <v>0</v>
      </c>
      <c r="P741">
        <v>1.5760000000000001</v>
      </c>
      <c r="Q741">
        <v>97.912999999999997</v>
      </c>
      <c r="R741">
        <v>2.0870000000000002</v>
      </c>
      <c r="S741">
        <v>97.912999999999997</v>
      </c>
      <c r="T741">
        <v>33.93</v>
      </c>
      <c r="U741">
        <v>1</v>
      </c>
      <c r="W741">
        <v>18.100000000000001</v>
      </c>
      <c r="X741">
        <v>5.8</v>
      </c>
    </row>
    <row r="742" spans="1:24" x14ac:dyDescent="0.25">
      <c r="A742" t="s">
        <v>97</v>
      </c>
      <c r="B742" t="s">
        <v>38</v>
      </c>
      <c r="C742" t="s">
        <v>35</v>
      </c>
      <c r="D742">
        <v>2015</v>
      </c>
      <c r="E742">
        <v>5189777</v>
      </c>
      <c r="F742">
        <v>430788988142</v>
      </c>
      <c r="G742">
        <v>143</v>
      </c>
      <c r="H742">
        <v>128.35</v>
      </c>
      <c r="I742">
        <v>0</v>
      </c>
      <c r="J742">
        <v>2.52</v>
      </c>
      <c r="K742">
        <v>140.07</v>
      </c>
      <c r="L742">
        <v>137.30000000000001</v>
      </c>
      <c r="M742">
        <v>0</v>
      </c>
      <c r="N742">
        <v>2.93</v>
      </c>
      <c r="O742">
        <v>0</v>
      </c>
      <c r="P742">
        <v>1.762</v>
      </c>
      <c r="Q742">
        <v>97.950999999999993</v>
      </c>
      <c r="R742">
        <v>2.0489999999999999</v>
      </c>
      <c r="S742">
        <v>97.950999999999993</v>
      </c>
      <c r="T742">
        <v>33.64</v>
      </c>
      <c r="U742">
        <v>1.1299999999999999</v>
      </c>
      <c r="W742">
        <v>13.5</v>
      </c>
      <c r="X742">
        <v>1.5</v>
      </c>
    </row>
    <row r="743" spans="1:24" x14ac:dyDescent="0.25">
      <c r="A743" t="s">
        <v>97</v>
      </c>
      <c r="B743" t="s">
        <v>38</v>
      </c>
      <c r="C743" t="s">
        <v>35</v>
      </c>
      <c r="D743">
        <v>2016</v>
      </c>
      <c r="E743">
        <v>5235974</v>
      </c>
      <c r="F743">
        <v>435806553454</v>
      </c>
      <c r="G743">
        <v>148.03</v>
      </c>
      <c r="H743">
        <v>131.62</v>
      </c>
      <c r="I743">
        <v>0</v>
      </c>
      <c r="J743">
        <v>2.11</v>
      </c>
      <c r="K743">
        <v>145.15</v>
      </c>
      <c r="L743">
        <v>142.81</v>
      </c>
      <c r="M743">
        <v>0</v>
      </c>
      <c r="N743">
        <v>2.88</v>
      </c>
      <c r="O743">
        <v>0</v>
      </c>
      <c r="P743">
        <v>1.425</v>
      </c>
      <c r="Q743">
        <v>98.054000000000002</v>
      </c>
      <c r="R743">
        <v>1.946</v>
      </c>
      <c r="S743">
        <v>98.054000000000002</v>
      </c>
      <c r="T743">
        <v>33.1</v>
      </c>
      <c r="U743">
        <v>0.95</v>
      </c>
      <c r="W743">
        <v>-16.3</v>
      </c>
      <c r="X743">
        <v>3.6</v>
      </c>
    </row>
    <row r="744" spans="1:24" x14ac:dyDescent="0.25">
      <c r="A744" t="s">
        <v>97</v>
      </c>
      <c r="B744" t="s">
        <v>38</v>
      </c>
      <c r="C744" t="s">
        <v>35</v>
      </c>
      <c r="D744">
        <v>2017</v>
      </c>
      <c r="E744">
        <v>5276807</v>
      </c>
      <c r="F744">
        <v>446543702505</v>
      </c>
      <c r="G744">
        <v>148.27000000000001</v>
      </c>
      <c r="H744">
        <v>133.11000000000001</v>
      </c>
      <c r="I744">
        <v>0</v>
      </c>
      <c r="J744">
        <v>2.85</v>
      </c>
      <c r="K744">
        <v>145.47999999999999</v>
      </c>
      <c r="L744">
        <v>142.37</v>
      </c>
      <c r="M744">
        <v>0</v>
      </c>
      <c r="N744">
        <v>2.79</v>
      </c>
      <c r="O744">
        <v>0</v>
      </c>
      <c r="P744">
        <v>1.9219999999999999</v>
      </c>
      <c r="Q744">
        <v>98.117999999999995</v>
      </c>
      <c r="R744">
        <v>1.8819999999999999</v>
      </c>
      <c r="S744">
        <v>98.117999999999995</v>
      </c>
      <c r="T744">
        <v>32.979999999999997</v>
      </c>
      <c r="U744">
        <v>1.28</v>
      </c>
      <c r="W744">
        <v>35.1</v>
      </c>
      <c r="X744">
        <v>0.2</v>
      </c>
    </row>
    <row r="745" spans="1:24" x14ac:dyDescent="0.25">
      <c r="A745" t="s">
        <v>97</v>
      </c>
      <c r="B745" t="s">
        <v>38</v>
      </c>
      <c r="C745" t="s">
        <v>35</v>
      </c>
      <c r="D745">
        <v>2018</v>
      </c>
      <c r="E745">
        <v>5311751</v>
      </c>
      <c r="F745">
        <v>450245217440</v>
      </c>
      <c r="G745">
        <v>145.94</v>
      </c>
      <c r="H745">
        <v>135.79</v>
      </c>
      <c r="I745">
        <v>0</v>
      </c>
      <c r="J745">
        <v>3.87</v>
      </c>
      <c r="K745">
        <v>143.05000000000001</v>
      </c>
      <c r="L745">
        <v>138.97999999999999</v>
      </c>
      <c r="M745">
        <v>0</v>
      </c>
      <c r="N745">
        <v>2.89</v>
      </c>
      <c r="O745">
        <v>0</v>
      </c>
      <c r="P745">
        <v>2.6520000000000001</v>
      </c>
      <c r="Q745">
        <v>98.02</v>
      </c>
      <c r="R745">
        <v>1.98</v>
      </c>
      <c r="S745">
        <v>98.02</v>
      </c>
      <c r="T745">
        <v>33.1</v>
      </c>
      <c r="U745">
        <v>1.74</v>
      </c>
      <c r="W745">
        <v>35.799999999999997</v>
      </c>
      <c r="X745">
        <v>-1.7</v>
      </c>
    </row>
    <row r="746" spans="1:24" x14ac:dyDescent="0.25">
      <c r="A746" t="s">
        <v>97</v>
      </c>
      <c r="B746" t="s">
        <v>38</v>
      </c>
      <c r="C746" t="s">
        <v>35</v>
      </c>
      <c r="D746">
        <v>2019</v>
      </c>
      <c r="E746">
        <v>5347733</v>
      </c>
      <c r="F746">
        <v>455304831150</v>
      </c>
      <c r="G746">
        <v>133.83000000000001</v>
      </c>
      <c r="H746">
        <v>133.87</v>
      </c>
      <c r="I746">
        <v>0.01</v>
      </c>
      <c r="J746">
        <v>5.52</v>
      </c>
      <c r="K746">
        <v>131.07</v>
      </c>
      <c r="L746">
        <v>125.29</v>
      </c>
      <c r="M746">
        <v>0</v>
      </c>
      <c r="N746">
        <v>2.76</v>
      </c>
      <c r="O746">
        <v>7.0000000000000001E-3</v>
      </c>
      <c r="P746">
        <v>4.125</v>
      </c>
      <c r="Q746">
        <v>97.938000000000002</v>
      </c>
      <c r="R746">
        <v>2.0619999999999998</v>
      </c>
      <c r="S746">
        <v>97.938000000000002</v>
      </c>
      <c r="T746">
        <v>33.479999999999997</v>
      </c>
      <c r="U746">
        <v>2.4900000000000002</v>
      </c>
      <c r="W746">
        <v>42.6</v>
      </c>
      <c r="X746">
        <v>-8.4</v>
      </c>
    </row>
    <row r="747" spans="1:24" x14ac:dyDescent="0.25">
      <c r="A747" t="s">
        <v>97</v>
      </c>
      <c r="B747" t="s">
        <v>38</v>
      </c>
      <c r="C747" t="s">
        <v>35</v>
      </c>
      <c r="D747">
        <v>2020</v>
      </c>
      <c r="E747">
        <v>5379275</v>
      </c>
      <c r="F747">
        <v>449485260525</v>
      </c>
      <c r="G747">
        <v>154.32</v>
      </c>
      <c r="H747">
        <v>133.85</v>
      </c>
      <c r="I747">
        <v>0.08</v>
      </c>
      <c r="J747">
        <v>9.91</v>
      </c>
      <c r="K747">
        <v>152.03</v>
      </c>
      <c r="L747">
        <v>141.80000000000001</v>
      </c>
      <c r="M747">
        <v>0</v>
      </c>
      <c r="N747">
        <v>2.29</v>
      </c>
      <c r="O747">
        <v>5.1999999999999998E-2</v>
      </c>
      <c r="P747">
        <v>6.4219999999999997</v>
      </c>
      <c r="Q747">
        <v>98.516000000000005</v>
      </c>
      <c r="R747">
        <v>1.484</v>
      </c>
      <c r="S747">
        <v>98.516000000000005</v>
      </c>
      <c r="T747">
        <v>30.39</v>
      </c>
      <c r="U747">
        <v>4.5</v>
      </c>
      <c r="V747">
        <v>700</v>
      </c>
      <c r="W747">
        <v>79.5</v>
      </c>
      <c r="X747">
        <v>16</v>
      </c>
    </row>
    <row r="748" spans="1:24" x14ac:dyDescent="0.25">
      <c r="A748" t="s">
        <v>97</v>
      </c>
      <c r="B748" t="s">
        <v>38</v>
      </c>
      <c r="C748" t="s">
        <v>35</v>
      </c>
      <c r="D748">
        <v>2021</v>
      </c>
      <c r="E748">
        <v>5408082</v>
      </c>
      <c r="F748">
        <v>467007972731</v>
      </c>
      <c r="G748">
        <v>157.13</v>
      </c>
      <c r="H748">
        <v>139.55000000000001</v>
      </c>
      <c r="I748">
        <v>0.11</v>
      </c>
      <c r="J748">
        <v>11.76</v>
      </c>
      <c r="K748">
        <v>156.06</v>
      </c>
      <c r="L748">
        <v>143.97</v>
      </c>
      <c r="M748">
        <v>0</v>
      </c>
      <c r="N748">
        <v>1.07</v>
      </c>
      <c r="O748">
        <v>7.0000000000000007E-2</v>
      </c>
      <c r="P748">
        <v>7.484</v>
      </c>
      <c r="Q748">
        <v>99.319000000000003</v>
      </c>
      <c r="R748">
        <v>0.68100000000000005</v>
      </c>
      <c r="S748">
        <v>99.319000000000003</v>
      </c>
      <c r="T748">
        <v>26.92</v>
      </c>
      <c r="U748">
        <v>5.34</v>
      </c>
      <c r="V748">
        <v>37.5</v>
      </c>
      <c r="W748">
        <v>18.7</v>
      </c>
      <c r="X748">
        <v>2.7</v>
      </c>
    </row>
    <row r="749" spans="1:24" x14ac:dyDescent="0.25">
      <c r="A749" t="s">
        <v>97</v>
      </c>
      <c r="B749" t="s">
        <v>38</v>
      </c>
      <c r="C749" t="s">
        <v>35</v>
      </c>
      <c r="D749">
        <v>2022</v>
      </c>
      <c r="E749">
        <v>5456796</v>
      </c>
      <c r="F749">
        <v>482328451592</v>
      </c>
      <c r="G749">
        <v>145.41999999999999</v>
      </c>
      <c r="H749">
        <v>132.9</v>
      </c>
      <c r="I749">
        <v>0.17</v>
      </c>
      <c r="J749">
        <v>14.8</v>
      </c>
      <c r="K749">
        <v>143.44999999999999</v>
      </c>
      <c r="L749">
        <v>128.24</v>
      </c>
      <c r="M749">
        <v>0</v>
      </c>
      <c r="N749">
        <v>1.97</v>
      </c>
      <c r="O749">
        <v>0.11700000000000001</v>
      </c>
      <c r="P749">
        <v>10.177</v>
      </c>
      <c r="Q749">
        <v>98.644999999999996</v>
      </c>
      <c r="R749">
        <v>1.355</v>
      </c>
      <c r="S749">
        <v>98.644999999999996</v>
      </c>
      <c r="T749">
        <v>29.64</v>
      </c>
      <c r="U749">
        <v>6.74</v>
      </c>
      <c r="V749">
        <v>54.5</v>
      </c>
      <c r="W749">
        <v>25.9</v>
      </c>
      <c r="X749">
        <v>-8.1</v>
      </c>
    </row>
    <row r="750" spans="1:24" x14ac:dyDescent="0.25">
      <c r="A750" t="s">
        <v>97</v>
      </c>
      <c r="B750" t="s">
        <v>38</v>
      </c>
      <c r="C750" t="s">
        <v>35</v>
      </c>
      <c r="D750">
        <v>2023</v>
      </c>
      <c r="E750">
        <v>5519167</v>
      </c>
      <c r="G750">
        <v>153.63</v>
      </c>
      <c r="H750">
        <v>135.88999999999999</v>
      </c>
      <c r="I750">
        <v>0.36</v>
      </c>
      <c r="J750">
        <v>13.96</v>
      </c>
      <c r="K750">
        <v>151.28</v>
      </c>
      <c r="L750">
        <v>136.71</v>
      </c>
      <c r="M750">
        <v>0</v>
      </c>
      <c r="N750">
        <v>2.35</v>
      </c>
      <c r="O750">
        <v>0.23400000000000001</v>
      </c>
      <c r="P750">
        <v>9.0869999999999997</v>
      </c>
      <c r="Q750">
        <v>98.47</v>
      </c>
      <c r="R750">
        <v>1.53</v>
      </c>
      <c r="S750">
        <v>98.47</v>
      </c>
      <c r="T750">
        <v>30.46</v>
      </c>
      <c r="U750">
        <v>6.44</v>
      </c>
      <c r="V750">
        <v>111.8</v>
      </c>
      <c r="W750">
        <v>-5.7</v>
      </c>
      <c r="X750">
        <v>5.5</v>
      </c>
    </row>
    <row r="751" spans="1:24" x14ac:dyDescent="0.25">
      <c r="A751" t="s">
        <v>97</v>
      </c>
      <c r="B751" t="s">
        <v>38</v>
      </c>
      <c r="C751" t="s">
        <v>35</v>
      </c>
      <c r="D751">
        <v>2024</v>
      </c>
      <c r="E751">
        <v>5576656</v>
      </c>
      <c r="G751">
        <v>157.11000000000001</v>
      </c>
      <c r="H751">
        <v>138.66999999999999</v>
      </c>
      <c r="I751">
        <v>0.53</v>
      </c>
      <c r="J751">
        <v>14.6</v>
      </c>
      <c r="K751">
        <v>154.91999999999999</v>
      </c>
      <c r="L751">
        <v>139.55000000000001</v>
      </c>
      <c r="M751">
        <v>0</v>
      </c>
      <c r="N751">
        <v>2.19</v>
      </c>
      <c r="O751">
        <v>0.33700000000000002</v>
      </c>
      <c r="P751">
        <v>9.2929999999999993</v>
      </c>
      <c r="Q751">
        <v>98.605999999999995</v>
      </c>
      <c r="R751">
        <v>1.3939999999999999</v>
      </c>
      <c r="S751">
        <v>98.605999999999995</v>
      </c>
      <c r="T751">
        <v>29.66</v>
      </c>
      <c r="U751">
        <v>6.81</v>
      </c>
      <c r="V751">
        <v>47.2</v>
      </c>
      <c r="W751">
        <v>4.5999999999999996</v>
      </c>
      <c r="X751">
        <v>2.4</v>
      </c>
    </row>
    <row r="752" spans="1:24" x14ac:dyDescent="0.25">
      <c r="A752" t="s">
        <v>97</v>
      </c>
      <c r="B752" t="s">
        <v>38</v>
      </c>
      <c r="C752" t="s">
        <v>35</v>
      </c>
      <c r="D752">
        <v>2025</v>
      </c>
      <c r="E752">
        <v>5623074</v>
      </c>
      <c r="G752">
        <v>160.81</v>
      </c>
      <c r="H752">
        <v>137.71</v>
      </c>
      <c r="I752">
        <v>0.53</v>
      </c>
      <c r="J752">
        <v>13.56</v>
      </c>
      <c r="K752">
        <v>159.19999999999999</v>
      </c>
      <c r="L752">
        <v>144.77000000000001</v>
      </c>
      <c r="M752">
        <v>0</v>
      </c>
      <c r="N752">
        <v>1.61</v>
      </c>
      <c r="O752">
        <v>0.33</v>
      </c>
      <c r="P752">
        <v>8.4320000000000004</v>
      </c>
      <c r="Q752">
        <v>98.998999999999995</v>
      </c>
      <c r="R752">
        <v>1.0009999999999999</v>
      </c>
      <c r="S752">
        <v>98.998999999999995</v>
      </c>
      <c r="T752">
        <v>28.11</v>
      </c>
      <c r="U752">
        <v>6.34</v>
      </c>
      <c r="V752">
        <v>0</v>
      </c>
      <c r="W752">
        <v>-7.1</v>
      </c>
      <c r="X752">
        <v>2.8</v>
      </c>
    </row>
    <row r="753" spans="1:24" x14ac:dyDescent="0.25">
      <c r="A753" t="s">
        <v>99</v>
      </c>
      <c r="B753" t="s">
        <v>41</v>
      </c>
      <c r="C753" t="s">
        <v>27</v>
      </c>
      <c r="D753">
        <v>2000</v>
      </c>
      <c r="E753">
        <v>154879124</v>
      </c>
      <c r="F753">
        <v>459798536606</v>
      </c>
      <c r="G753">
        <v>66.489999999999995</v>
      </c>
      <c r="H753">
        <v>66.489999999999995</v>
      </c>
      <c r="I753">
        <v>0</v>
      </c>
      <c r="J753">
        <v>0</v>
      </c>
      <c r="K753">
        <v>17.190000000000001</v>
      </c>
      <c r="L753">
        <v>17.190000000000001</v>
      </c>
      <c r="M753">
        <v>0.38</v>
      </c>
      <c r="N753">
        <v>48.92</v>
      </c>
      <c r="O753">
        <v>0</v>
      </c>
      <c r="P753">
        <v>0</v>
      </c>
      <c r="Q753">
        <v>25.853999999999999</v>
      </c>
      <c r="R753">
        <v>73.575000000000003</v>
      </c>
      <c r="S753">
        <v>26.425000000000001</v>
      </c>
      <c r="T753">
        <v>499.93</v>
      </c>
      <c r="U753">
        <v>0</v>
      </c>
    </row>
    <row r="754" spans="1:24" x14ac:dyDescent="0.25">
      <c r="A754" t="s">
        <v>99</v>
      </c>
      <c r="B754" t="s">
        <v>41</v>
      </c>
      <c r="C754" t="s">
        <v>27</v>
      </c>
      <c r="D754">
        <v>2001</v>
      </c>
      <c r="E754">
        <v>159270910</v>
      </c>
      <c r="F754">
        <v>477964444881</v>
      </c>
      <c r="G754">
        <v>72.11</v>
      </c>
      <c r="H754">
        <v>72.11</v>
      </c>
      <c r="I754">
        <v>0</v>
      </c>
      <c r="J754">
        <v>0</v>
      </c>
      <c r="K754">
        <v>18.940000000000001</v>
      </c>
      <c r="L754">
        <v>18.940000000000001</v>
      </c>
      <c r="M754">
        <v>1.98</v>
      </c>
      <c r="N754">
        <v>51.19</v>
      </c>
      <c r="O754">
        <v>0</v>
      </c>
      <c r="P754">
        <v>0</v>
      </c>
      <c r="Q754">
        <v>26.265000000000001</v>
      </c>
      <c r="R754">
        <v>70.989000000000004</v>
      </c>
      <c r="S754">
        <v>29.010999999999999</v>
      </c>
      <c r="T754">
        <v>483.71</v>
      </c>
      <c r="U754">
        <v>0</v>
      </c>
      <c r="X754">
        <v>10.199999999999999</v>
      </c>
    </row>
    <row r="755" spans="1:24" x14ac:dyDescent="0.25">
      <c r="A755" t="s">
        <v>99</v>
      </c>
      <c r="B755" t="s">
        <v>41</v>
      </c>
      <c r="C755" t="s">
        <v>27</v>
      </c>
      <c r="D755">
        <v>2002</v>
      </c>
      <c r="E755">
        <v>163222552</v>
      </c>
      <c r="F755">
        <v>504824722487</v>
      </c>
      <c r="G755">
        <v>75.77</v>
      </c>
      <c r="H755">
        <v>75.77</v>
      </c>
      <c r="I755">
        <v>0</v>
      </c>
      <c r="J755">
        <v>0</v>
      </c>
      <c r="K755">
        <v>22.35</v>
      </c>
      <c r="L755">
        <v>22.35</v>
      </c>
      <c r="M755">
        <v>1.8</v>
      </c>
      <c r="N755">
        <v>51.62</v>
      </c>
      <c r="O755">
        <v>0</v>
      </c>
      <c r="P755">
        <v>0</v>
      </c>
      <c r="Q755">
        <v>29.497</v>
      </c>
      <c r="R755">
        <v>68.126999999999995</v>
      </c>
      <c r="S755">
        <v>31.873000000000001</v>
      </c>
      <c r="T755">
        <v>465.62</v>
      </c>
      <c r="U755">
        <v>0</v>
      </c>
      <c r="X755">
        <v>18</v>
      </c>
    </row>
    <row r="756" spans="1:24" x14ac:dyDescent="0.25">
      <c r="A756" t="s">
        <v>99</v>
      </c>
      <c r="B756" t="s">
        <v>41</v>
      </c>
      <c r="C756" t="s">
        <v>27</v>
      </c>
      <c r="D756">
        <v>2003</v>
      </c>
      <c r="E756">
        <v>167110250</v>
      </c>
      <c r="F756">
        <v>543920300431</v>
      </c>
      <c r="G756">
        <v>82.08</v>
      </c>
      <c r="H756">
        <v>82.15</v>
      </c>
      <c r="I756">
        <v>0</v>
      </c>
      <c r="J756">
        <v>0</v>
      </c>
      <c r="K756">
        <v>28.14</v>
      </c>
      <c r="L756">
        <v>26.94</v>
      </c>
      <c r="M756">
        <v>1.81</v>
      </c>
      <c r="N756">
        <v>52.13</v>
      </c>
      <c r="O756">
        <v>0</v>
      </c>
      <c r="P756">
        <v>0</v>
      </c>
      <c r="Q756">
        <v>34.283999999999999</v>
      </c>
      <c r="R756">
        <v>63.511000000000003</v>
      </c>
      <c r="S756">
        <v>36.488999999999997</v>
      </c>
      <c r="T756">
        <v>442.37</v>
      </c>
      <c r="U756">
        <v>0</v>
      </c>
      <c r="X756">
        <v>25.9</v>
      </c>
    </row>
    <row r="757" spans="1:24" x14ac:dyDescent="0.25">
      <c r="A757" t="s">
        <v>99</v>
      </c>
      <c r="B757" t="s">
        <v>41</v>
      </c>
      <c r="C757" t="s">
        <v>27</v>
      </c>
      <c r="D757">
        <v>2004</v>
      </c>
      <c r="E757">
        <v>171285999</v>
      </c>
      <c r="F757">
        <v>592025705114</v>
      </c>
      <c r="G757">
        <v>85.96</v>
      </c>
      <c r="H757">
        <v>86.07</v>
      </c>
      <c r="I757">
        <v>0</v>
      </c>
      <c r="J757">
        <v>0</v>
      </c>
      <c r="K757">
        <v>26.87</v>
      </c>
      <c r="L757">
        <v>25.67</v>
      </c>
      <c r="M757">
        <v>1.93</v>
      </c>
      <c r="N757">
        <v>57.16</v>
      </c>
      <c r="O757">
        <v>0</v>
      </c>
      <c r="P757">
        <v>0</v>
      </c>
      <c r="Q757">
        <v>31.259</v>
      </c>
      <c r="R757">
        <v>66.495999999999995</v>
      </c>
      <c r="S757">
        <v>33.503999999999998</v>
      </c>
      <c r="T757">
        <v>461.84</v>
      </c>
      <c r="U757">
        <v>0</v>
      </c>
      <c r="X757">
        <v>-4.5</v>
      </c>
    </row>
    <row r="758" spans="1:24" x14ac:dyDescent="0.25">
      <c r="A758" t="s">
        <v>99</v>
      </c>
      <c r="B758" t="s">
        <v>41</v>
      </c>
      <c r="C758" t="s">
        <v>27</v>
      </c>
      <c r="D758">
        <v>2005</v>
      </c>
      <c r="E758">
        <v>175453212</v>
      </c>
      <c r="F758">
        <v>641139042718</v>
      </c>
      <c r="G758">
        <v>94.56</v>
      </c>
      <c r="H758">
        <v>94.71</v>
      </c>
      <c r="I758">
        <v>0</v>
      </c>
      <c r="J758">
        <v>0</v>
      </c>
      <c r="K758">
        <v>31.86</v>
      </c>
      <c r="L758">
        <v>30.86</v>
      </c>
      <c r="M758">
        <v>2.41</v>
      </c>
      <c r="N758">
        <v>60.29</v>
      </c>
      <c r="O758">
        <v>0</v>
      </c>
      <c r="P758">
        <v>0</v>
      </c>
      <c r="Q758">
        <v>33.692999999999998</v>
      </c>
      <c r="R758">
        <v>63.758000000000003</v>
      </c>
      <c r="S758">
        <v>36.241999999999997</v>
      </c>
      <c r="T758">
        <v>441.73</v>
      </c>
      <c r="U758">
        <v>0</v>
      </c>
      <c r="X758">
        <v>18.600000000000001</v>
      </c>
    </row>
    <row r="759" spans="1:24" x14ac:dyDescent="0.25">
      <c r="A759" t="s">
        <v>99</v>
      </c>
      <c r="B759" t="s">
        <v>41</v>
      </c>
      <c r="C759" t="s">
        <v>27</v>
      </c>
      <c r="D759">
        <v>2006</v>
      </c>
      <c r="E759">
        <v>179682690</v>
      </c>
      <c r="F759">
        <v>685965623310</v>
      </c>
      <c r="G759">
        <v>99.53</v>
      </c>
      <c r="H759">
        <v>99.7</v>
      </c>
      <c r="I759">
        <v>0</v>
      </c>
      <c r="J759">
        <v>0</v>
      </c>
      <c r="K759">
        <v>33.01</v>
      </c>
      <c r="L759">
        <v>31.95</v>
      </c>
      <c r="M759">
        <v>2.5499999999999998</v>
      </c>
      <c r="N759">
        <v>63.97</v>
      </c>
      <c r="O759">
        <v>0</v>
      </c>
      <c r="P759">
        <v>0</v>
      </c>
      <c r="Q759">
        <v>33.165999999999997</v>
      </c>
      <c r="R759">
        <v>64.272000000000006</v>
      </c>
      <c r="S759">
        <v>35.728000000000002</v>
      </c>
      <c r="T759">
        <v>442.98</v>
      </c>
      <c r="U759">
        <v>0</v>
      </c>
      <c r="X759">
        <v>3.6</v>
      </c>
    </row>
    <row r="760" spans="1:24" x14ac:dyDescent="0.25">
      <c r="A760" t="s">
        <v>99</v>
      </c>
      <c r="B760" t="s">
        <v>41</v>
      </c>
      <c r="C760" t="s">
        <v>27</v>
      </c>
      <c r="D760">
        <v>2007</v>
      </c>
      <c r="E760">
        <v>184493231</v>
      </c>
      <c r="F760">
        <v>719253757580</v>
      </c>
      <c r="G760">
        <v>96.15</v>
      </c>
      <c r="H760">
        <v>96.35</v>
      </c>
      <c r="I760">
        <v>0</v>
      </c>
      <c r="J760">
        <v>0</v>
      </c>
      <c r="K760">
        <v>29.96</v>
      </c>
      <c r="L760">
        <v>28.71</v>
      </c>
      <c r="M760">
        <v>2.31</v>
      </c>
      <c r="N760">
        <v>63.88</v>
      </c>
      <c r="O760">
        <v>0</v>
      </c>
      <c r="P760">
        <v>0</v>
      </c>
      <c r="Q760">
        <v>31.16</v>
      </c>
      <c r="R760">
        <v>66.438000000000002</v>
      </c>
      <c r="S760">
        <v>33.561999999999998</v>
      </c>
      <c r="T760">
        <v>456.68</v>
      </c>
      <c r="U760">
        <v>0</v>
      </c>
      <c r="X760">
        <v>-9.1999999999999993</v>
      </c>
    </row>
    <row r="761" spans="1:24" x14ac:dyDescent="0.25">
      <c r="A761" t="s">
        <v>99</v>
      </c>
      <c r="B761" t="s">
        <v>41</v>
      </c>
      <c r="C761" t="s">
        <v>27</v>
      </c>
      <c r="D761">
        <v>2008</v>
      </c>
      <c r="E761">
        <v>189499112</v>
      </c>
      <c r="F761">
        <v>746912719652</v>
      </c>
      <c r="G761">
        <v>93.01</v>
      </c>
      <c r="H761">
        <v>93.24</v>
      </c>
      <c r="I761">
        <v>0</v>
      </c>
      <c r="J761">
        <v>0</v>
      </c>
      <c r="K761">
        <v>29.06</v>
      </c>
      <c r="L761">
        <v>27.78</v>
      </c>
      <c r="M761">
        <v>1.74</v>
      </c>
      <c r="N761">
        <v>62.21</v>
      </c>
      <c r="O761">
        <v>0</v>
      </c>
      <c r="P761">
        <v>0</v>
      </c>
      <c r="Q761">
        <v>31.244</v>
      </c>
      <c r="R761">
        <v>66.885000000000005</v>
      </c>
      <c r="S761">
        <v>33.115000000000002</v>
      </c>
      <c r="T761">
        <v>459.09</v>
      </c>
      <c r="U761">
        <v>0</v>
      </c>
      <c r="X761">
        <v>-3</v>
      </c>
    </row>
    <row r="762" spans="1:24" x14ac:dyDescent="0.25">
      <c r="A762" t="s">
        <v>99</v>
      </c>
      <c r="B762" t="s">
        <v>41</v>
      </c>
      <c r="C762" t="s">
        <v>27</v>
      </c>
      <c r="D762">
        <v>2009</v>
      </c>
      <c r="E762">
        <v>194376535</v>
      </c>
      <c r="F762">
        <v>774880575078</v>
      </c>
      <c r="G762">
        <v>96.11</v>
      </c>
      <c r="H762">
        <v>96.36</v>
      </c>
      <c r="I762">
        <v>0</v>
      </c>
      <c r="J762">
        <v>0.01</v>
      </c>
      <c r="K762">
        <v>29.1</v>
      </c>
      <c r="L762">
        <v>28.09</v>
      </c>
      <c r="M762">
        <v>2.64</v>
      </c>
      <c r="N762">
        <v>64.37</v>
      </c>
      <c r="O762">
        <v>0</v>
      </c>
      <c r="P762">
        <v>0.01</v>
      </c>
      <c r="Q762">
        <v>30.277999999999999</v>
      </c>
      <c r="R762">
        <v>66.974999999999994</v>
      </c>
      <c r="S762">
        <v>33.024999999999999</v>
      </c>
      <c r="T762">
        <v>458.23</v>
      </c>
      <c r="U762">
        <v>0</v>
      </c>
      <c r="X762">
        <v>0.1</v>
      </c>
    </row>
    <row r="763" spans="1:24" x14ac:dyDescent="0.25">
      <c r="A763" t="s">
        <v>99</v>
      </c>
      <c r="B763" t="s">
        <v>41</v>
      </c>
      <c r="C763" t="s">
        <v>27</v>
      </c>
      <c r="D763">
        <v>2010</v>
      </c>
      <c r="E763">
        <v>199239048</v>
      </c>
      <c r="F763">
        <v>805491514683</v>
      </c>
      <c r="G763">
        <v>94.54</v>
      </c>
      <c r="H763">
        <v>94.81</v>
      </c>
      <c r="I763">
        <v>0.01</v>
      </c>
      <c r="J763">
        <v>0.01</v>
      </c>
      <c r="K763">
        <v>32.82</v>
      </c>
      <c r="L763">
        <v>31.81</v>
      </c>
      <c r="M763">
        <v>2.56</v>
      </c>
      <c r="N763">
        <v>59.16</v>
      </c>
      <c r="O763">
        <v>1.0999999999999999E-2</v>
      </c>
      <c r="P763">
        <v>1.0999999999999999E-2</v>
      </c>
      <c r="Q763">
        <v>34.715000000000003</v>
      </c>
      <c r="R763">
        <v>62.576999999999998</v>
      </c>
      <c r="S763">
        <v>37.423000000000002</v>
      </c>
      <c r="T763">
        <v>429.66</v>
      </c>
      <c r="U763">
        <v>0.01</v>
      </c>
      <c r="W763">
        <v>0</v>
      </c>
      <c r="X763">
        <v>12.8</v>
      </c>
    </row>
    <row r="764" spans="1:24" x14ac:dyDescent="0.25">
      <c r="A764" t="s">
        <v>99</v>
      </c>
      <c r="B764" t="s">
        <v>41</v>
      </c>
      <c r="C764" t="s">
        <v>27</v>
      </c>
      <c r="D764">
        <v>2011</v>
      </c>
      <c r="E764">
        <v>203746069</v>
      </c>
      <c r="F764">
        <v>845096928750</v>
      </c>
      <c r="G764">
        <v>94.83</v>
      </c>
      <c r="H764">
        <v>95.1</v>
      </c>
      <c r="I764">
        <v>0.03</v>
      </c>
      <c r="J764">
        <v>0.02</v>
      </c>
      <c r="K764">
        <v>29.68</v>
      </c>
      <c r="L764">
        <v>28.52</v>
      </c>
      <c r="M764">
        <v>3.84</v>
      </c>
      <c r="N764">
        <v>61.31</v>
      </c>
      <c r="O764">
        <v>3.2000000000000001E-2</v>
      </c>
      <c r="P764">
        <v>2.1000000000000001E-2</v>
      </c>
      <c r="Q764">
        <v>31.297999999999998</v>
      </c>
      <c r="R764">
        <v>64.653000000000006</v>
      </c>
      <c r="S764">
        <v>35.347000000000001</v>
      </c>
      <c r="T764">
        <v>443.32</v>
      </c>
      <c r="U764">
        <v>0.02</v>
      </c>
      <c r="V764">
        <v>200</v>
      </c>
      <c r="W764">
        <v>100</v>
      </c>
      <c r="X764">
        <v>-9.6</v>
      </c>
    </row>
    <row r="765" spans="1:24" x14ac:dyDescent="0.25">
      <c r="A765" t="s">
        <v>99</v>
      </c>
      <c r="B765" t="s">
        <v>41</v>
      </c>
      <c r="C765" t="s">
        <v>27</v>
      </c>
      <c r="D765">
        <v>2012</v>
      </c>
      <c r="E765">
        <v>207667129</v>
      </c>
      <c r="F765">
        <v>878485024934</v>
      </c>
      <c r="G765">
        <v>98.1</v>
      </c>
      <c r="H765">
        <v>98.48</v>
      </c>
      <c r="I765">
        <v>7.0000000000000007E-2</v>
      </c>
      <c r="J765">
        <v>0.01</v>
      </c>
      <c r="K765">
        <v>31.11</v>
      </c>
      <c r="L765">
        <v>29.86</v>
      </c>
      <c r="M765">
        <v>5.27</v>
      </c>
      <c r="N765">
        <v>61.72</v>
      </c>
      <c r="O765">
        <v>7.0999999999999994E-2</v>
      </c>
      <c r="P765">
        <v>0.01</v>
      </c>
      <c r="Q765">
        <v>31.713000000000001</v>
      </c>
      <c r="R765">
        <v>62.914999999999999</v>
      </c>
      <c r="S765">
        <v>37.085000000000001</v>
      </c>
      <c r="T765">
        <v>431.7</v>
      </c>
      <c r="U765">
        <v>0.04</v>
      </c>
      <c r="V765">
        <v>133.30000000000001</v>
      </c>
      <c r="W765">
        <v>-50</v>
      </c>
      <c r="X765">
        <v>4.8</v>
      </c>
    </row>
    <row r="766" spans="1:24" x14ac:dyDescent="0.25">
      <c r="A766" t="s">
        <v>99</v>
      </c>
      <c r="B766" t="s">
        <v>41</v>
      </c>
      <c r="C766" t="s">
        <v>27</v>
      </c>
      <c r="D766">
        <v>2013</v>
      </c>
      <c r="E766">
        <v>211073979</v>
      </c>
      <c r="F766">
        <v>918328534363</v>
      </c>
      <c r="G766">
        <v>104.88</v>
      </c>
      <c r="H766">
        <v>105.3</v>
      </c>
      <c r="I766">
        <v>0.14000000000000001</v>
      </c>
      <c r="J766">
        <v>0.4</v>
      </c>
      <c r="K766">
        <v>33.76</v>
      </c>
      <c r="L766">
        <v>31.87</v>
      </c>
      <c r="M766">
        <v>4.4000000000000004</v>
      </c>
      <c r="N766">
        <v>66.72</v>
      </c>
      <c r="O766">
        <v>0.13300000000000001</v>
      </c>
      <c r="P766">
        <v>0.38100000000000001</v>
      </c>
      <c r="Q766">
        <v>32.189</v>
      </c>
      <c r="R766">
        <v>63.616</v>
      </c>
      <c r="S766">
        <v>36.384</v>
      </c>
      <c r="T766">
        <v>436.21</v>
      </c>
      <c r="U766">
        <v>0.24</v>
      </c>
      <c r="V766">
        <v>100</v>
      </c>
      <c r="W766">
        <v>3900</v>
      </c>
      <c r="X766">
        <v>8.5</v>
      </c>
    </row>
    <row r="767" spans="1:24" x14ac:dyDescent="0.25">
      <c r="A767" t="s">
        <v>99</v>
      </c>
      <c r="B767" t="s">
        <v>41</v>
      </c>
      <c r="C767" t="s">
        <v>27</v>
      </c>
      <c r="D767">
        <v>2014</v>
      </c>
      <c r="E767">
        <v>214264649</v>
      </c>
      <c r="F767">
        <v>961516822345</v>
      </c>
      <c r="G767">
        <v>107.91</v>
      </c>
      <c r="H767">
        <v>108.35</v>
      </c>
      <c r="I767">
        <v>0.24</v>
      </c>
      <c r="J767">
        <v>0.8</v>
      </c>
      <c r="K767">
        <v>35.43</v>
      </c>
      <c r="L767">
        <v>32.47</v>
      </c>
      <c r="M767">
        <v>4.58</v>
      </c>
      <c r="N767">
        <v>67.900000000000006</v>
      </c>
      <c r="O767">
        <v>0.222</v>
      </c>
      <c r="P767">
        <v>0.74099999999999999</v>
      </c>
      <c r="Q767">
        <v>32.832999999999998</v>
      </c>
      <c r="R767">
        <v>62.923000000000002</v>
      </c>
      <c r="S767">
        <v>37.076999999999998</v>
      </c>
      <c r="T767">
        <v>432.77</v>
      </c>
      <c r="U767">
        <v>0.47</v>
      </c>
      <c r="V767">
        <v>71.400000000000006</v>
      </c>
      <c r="W767">
        <v>100</v>
      </c>
      <c r="X767">
        <v>4.9000000000000004</v>
      </c>
    </row>
    <row r="768" spans="1:24" x14ac:dyDescent="0.25">
      <c r="A768" t="s">
        <v>99</v>
      </c>
      <c r="B768" t="s">
        <v>41</v>
      </c>
      <c r="C768" t="s">
        <v>27</v>
      </c>
      <c r="D768">
        <v>2015</v>
      </c>
      <c r="E768">
        <v>217290884</v>
      </c>
      <c r="F768">
        <v>1010825281718</v>
      </c>
      <c r="G768">
        <v>112.79</v>
      </c>
      <c r="H768">
        <v>113.25</v>
      </c>
      <c r="I768">
        <v>0.38</v>
      </c>
      <c r="J768">
        <v>0.79</v>
      </c>
      <c r="K768">
        <v>37.950000000000003</v>
      </c>
      <c r="L768">
        <v>34.630000000000003</v>
      </c>
      <c r="M768">
        <v>4.33</v>
      </c>
      <c r="N768">
        <v>70.510000000000005</v>
      </c>
      <c r="O768">
        <v>0.33700000000000002</v>
      </c>
      <c r="P768">
        <v>0.7</v>
      </c>
      <c r="Q768">
        <v>33.646999999999998</v>
      </c>
      <c r="R768">
        <v>62.514000000000003</v>
      </c>
      <c r="S768">
        <v>37.485999999999997</v>
      </c>
      <c r="T768">
        <v>431.78</v>
      </c>
      <c r="U768">
        <v>0.53</v>
      </c>
      <c r="V768">
        <v>58.3</v>
      </c>
      <c r="W768">
        <v>-1.2</v>
      </c>
      <c r="X768">
        <v>7.1</v>
      </c>
    </row>
    <row r="769" spans="1:25" x14ac:dyDescent="0.25">
      <c r="A769" t="s">
        <v>99</v>
      </c>
      <c r="B769" t="s">
        <v>41</v>
      </c>
      <c r="C769" t="s">
        <v>27</v>
      </c>
      <c r="D769">
        <v>2016</v>
      </c>
      <c r="E769">
        <v>220138863</v>
      </c>
      <c r="F769">
        <v>1061146810870</v>
      </c>
      <c r="G769">
        <v>122.9</v>
      </c>
      <c r="H769">
        <v>123.4</v>
      </c>
      <c r="I769">
        <v>0.68</v>
      </c>
      <c r="J769">
        <v>1.33</v>
      </c>
      <c r="K769">
        <v>35.85</v>
      </c>
      <c r="L769">
        <v>32.18</v>
      </c>
      <c r="M769">
        <v>5.44</v>
      </c>
      <c r="N769">
        <v>81.61</v>
      </c>
      <c r="O769">
        <v>0.55300000000000005</v>
      </c>
      <c r="P769">
        <v>1.0820000000000001</v>
      </c>
      <c r="Q769">
        <v>29.17</v>
      </c>
      <c r="R769">
        <v>66.403999999999996</v>
      </c>
      <c r="S769">
        <v>33.595999999999997</v>
      </c>
      <c r="T769">
        <v>456.96</v>
      </c>
      <c r="U769">
        <v>0.9</v>
      </c>
      <c r="V769">
        <v>78.900000000000006</v>
      </c>
      <c r="W769">
        <v>68.400000000000006</v>
      </c>
      <c r="X769">
        <v>-5.5</v>
      </c>
    </row>
    <row r="770" spans="1:25" x14ac:dyDescent="0.25">
      <c r="A770" t="s">
        <v>99</v>
      </c>
      <c r="B770" t="s">
        <v>41</v>
      </c>
      <c r="C770" t="s">
        <v>27</v>
      </c>
      <c r="D770">
        <v>2017</v>
      </c>
      <c r="E770">
        <v>223273974</v>
      </c>
      <c r="F770">
        <v>1117267177186</v>
      </c>
      <c r="G770">
        <v>130.36000000000001</v>
      </c>
      <c r="H770">
        <v>130.91999999999999</v>
      </c>
      <c r="I770">
        <v>0.92</v>
      </c>
      <c r="J770">
        <v>2.1</v>
      </c>
      <c r="K770">
        <v>32.64</v>
      </c>
      <c r="L770">
        <v>27.92</v>
      </c>
      <c r="M770">
        <v>8.11</v>
      </c>
      <c r="N770">
        <v>89.61</v>
      </c>
      <c r="O770">
        <v>0.70599999999999996</v>
      </c>
      <c r="P770">
        <v>1.611</v>
      </c>
      <c r="Q770">
        <v>25.038</v>
      </c>
      <c r="R770">
        <v>68.739999999999995</v>
      </c>
      <c r="S770">
        <v>31.26</v>
      </c>
      <c r="T770">
        <v>486.12</v>
      </c>
      <c r="U770">
        <v>1.36</v>
      </c>
      <c r="V770">
        <v>35.299999999999997</v>
      </c>
      <c r="W770">
        <v>57.9</v>
      </c>
      <c r="X770">
        <v>-9</v>
      </c>
    </row>
    <row r="771" spans="1:25" x14ac:dyDescent="0.25">
      <c r="A771" t="s">
        <v>99</v>
      </c>
      <c r="B771" t="s">
        <v>41</v>
      </c>
      <c r="C771" t="s">
        <v>27</v>
      </c>
      <c r="D771">
        <v>2018</v>
      </c>
      <c r="E771">
        <v>226928893</v>
      </c>
      <c r="F771">
        <v>1165406508457</v>
      </c>
      <c r="G771">
        <v>129.02000000000001</v>
      </c>
      <c r="H771">
        <v>129.51</v>
      </c>
      <c r="I771">
        <v>0.92</v>
      </c>
      <c r="J771">
        <v>3.16</v>
      </c>
      <c r="K771">
        <v>33.130000000000003</v>
      </c>
      <c r="L771">
        <v>27.34</v>
      </c>
      <c r="M771">
        <v>9.2899999999999991</v>
      </c>
      <c r="N771">
        <v>86.6</v>
      </c>
      <c r="O771">
        <v>0.71299999999999997</v>
      </c>
      <c r="P771">
        <v>2.4489999999999998</v>
      </c>
      <c r="Q771">
        <v>25.678000000000001</v>
      </c>
      <c r="R771">
        <v>67.120999999999995</v>
      </c>
      <c r="S771">
        <v>32.878999999999998</v>
      </c>
      <c r="T771">
        <v>484.11</v>
      </c>
      <c r="U771">
        <v>1.84</v>
      </c>
      <c r="V771">
        <v>0</v>
      </c>
      <c r="W771">
        <v>50.5</v>
      </c>
      <c r="X771">
        <v>1.5</v>
      </c>
    </row>
    <row r="772" spans="1:25" x14ac:dyDescent="0.25">
      <c r="A772" t="s">
        <v>99</v>
      </c>
      <c r="B772" t="s">
        <v>41</v>
      </c>
      <c r="C772" t="s">
        <v>27</v>
      </c>
      <c r="D772">
        <v>2019</v>
      </c>
      <c r="E772">
        <v>230800908</v>
      </c>
      <c r="F772">
        <v>1172330212219</v>
      </c>
      <c r="G772">
        <v>134.97</v>
      </c>
      <c r="H772">
        <v>135.47999999999999</v>
      </c>
      <c r="I772">
        <v>2.61</v>
      </c>
      <c r="J772">
        <v>2.88</v>
      </c>
      <c r="K772">
        <v>40.78</v>
      </c>
      <c r="L772">
        <v>33.58</v>
      </c>
      <c r="M772">
        <v>9.07</v>
      </c>
      <c r="N772">
        <v>85.12</v>
      </c>
      <c r="O772">
        <v>1.9339999999999999</v>
      </c>
      <c r="P772">
        <v>2.1339999999999999</v>
      </c>
      <c r="Q772">
        <v>30.213999999999999</v>
      </c>
      <c r="R772">
        <v>63.066000000000003</v>
      </c>
      <c r="S772">
        <v>36.933999999999997</v>
      </c>
      <c r="T772">
        <v>468.99</v>
      </c>
      <c r="U772">
        <v>2.4700000000000002</v>
      </c>
      <c r="V772">
        <v>183.7</v>
      </c>
      <c r="W772">
        <v>-8.9</v>
      </c>
      <c r="X772">
        <v>23.1</v>
      </c>
    </row>
    <row r="773" spans="1:25" x14ac:dyDescent="0.25">
      <c r="A773" t="s">
        <v>99</v>
      </c>
      <c r="B773" t="s">
        <v>41</v>
      </c>
      <c r="C773" t="s">
        <v>27</v>
      </c>
      <c r="D773">
        <v>2020</v>
      </c>
      <c r="E773">
        <v>235001745</v>
      </c>
      <c r="F773">
        <v>1202026422230</v>
      </c>
      <c r="G773">
        <v>146.16</v>
      </c>
      <c r="H773">
        <v>146.66</v>
      </c>
      <c r="I773">
        <v>4.0999999999999996</v>
      </c>
      <c r="J773">
        <v>2.9</v>
      </c>
      <c r="K773">
        <v>42.3</v>
      </c>
      <c r="L773">
        <v>33.549999999999997</v>
      </c>
      <c r="M773">
        <v>9.64</v>
      </c>
      <c r="N773">
        <v>94.22</v>
      </c>
      <c r="O773">
        <v>2.8050000000000002</v>
      </c>
      <c r="P773">
        <v>1.984</v>
      </c>
      <c r="Q773">
        <v>28.940999999999999</v>
      </c>
      <c r="R773">
        <v>64.463999999999999</v>
      </c>
      <c r="S773">
        <v>35.536000000000001</v>
      </c>
      <c r="T773">
        <v>477.49</v>
      </c>
      <c r="U773">
        <v>3.15</v>
      </c>
      <c r="V773">
        <v>57.1</v>
      </c>
      <c r="W773">
        <v>0.7</v>
      </c>
      <c r="X773">
        <v>3.7</v>
      </c>
    </row>
    <row r="774" spans="1:25" x14ac:dyDescent="0.25">
      <c r="A774" t="s">
        <v>99</v>
      </c>
      <c r="B774" t="s">
        <v>41</v>
      </c>
      <c r="C774" t="s">
        <v>27</v>
      </c>
      <c r="D774">
        <v>2021</v>
      </c>
      <c r="E774">
        <v>239477805</v>
      </c>
      <c r="F774">
        <v>1278204948031</v>
      </c>
      <c r="G774">
        <v>163.21</v>
      </c>
      <c r="H774">
        <v>163.71</v>
      </c>
      <c r="I774">
        <v>5.79</v>
      </c>
      <c r="J774">
        <v>4.58</v>
      </c>
      <c r="K774">
        <v>45.77</v>
      </c>
      <c r="L774">
        <v>33.549999999999997</v>
      </c>
      <c r="M774">
        <v>15.74</v>
      </c>
      <c r="N774">
        <v>101.7</v>
      </c>
      <c r="O774">
        <v>3.548</v>
      </c>
      <c r="P774">
        <v>2.806</v>
      </c>
      <c r="Q774">
        <v>28.044</v>
      </c>
      <c r="R774">
        <v>62.311999999999998</v>
      </c>
      <c r="S774">
        <v>37.688000000000002</v>
      </c>
      <c r="T774">
        <v>456.77</v>
      </c>
      <c r="U774">
        <v>4.67</v>
      </c>
      <c r="V774">
        <v>41.2</v>
      </c>
      <c r="W774">
        <v>57.9</v>
      </c>
      <c r="X774">
        <v>8.1999999999999993</v>
      </c>
      <c r="Y774" t="s">
        <v>100</v>
      </c>
    </row>
    <row r="775" spans="1:25" x14ac:dyDescent="0.25">
      <c r="A775" t="s">
        <v>99</v>
      </c>
      <c r="B775" t="s">
        <v>41</v>
      </c>
      <c r="C775" t="s">
        <v>27</v>
      </c>
      <c r="D775">
        <v>2022</v>
      </c>
      <c r="E775">
        <v>243700667</v>
      </c>
      <c r="F775">
        <v>1318834969356</v>
      </c>
      <c r="G775">
        <v>175.97</v>
      </c>
      <c r="H775">
        <v>176.43</v>
      </c>
      <c r="I775">
        <v>7.72</v>
      </c>
      <c r="J775">
        <v>6.34</v>
      </c>
      <c r="K775">
        <v>50.55</v>
      </c>
      <c r="L775">
        <v>34.58</v>
      </c>
      <c r="M775">
        <v>22.28</v>
      </c>
      <c r="N775">
        <v>103.14</v>
      </c>
      <c r="O775">
        <v>4.3869999999999996</v>
      </c>
      <c r="P775">
        <v>3.6030000000000002</v>
      </c>
      <c r="Q775">
        <v>28.725999999999999</v>
      </c>
      <c r="R775">
        <v>58.612000000000002</v>
      </c>
      <c r="S775">
        <v>41.387999999999998</v>
      </c>
      <c r="T775">
        <v>431.66</v>
      </c>
      <c r="U775">
        <v>6.33</v>
      </c>
      <c r="V775">
        <v>33.299999999999997</v>
      </c>
      <c r="W775">
        <v>38.4</v>
      </c>
      <c r="X775">
        <v>10.4</v>
      </c>
    </row>
    <row r="776" spans="1:25" x14ac:dyDescent="0.25">
      <c r="A776" t="s">
        <v>99</v>
      </c>
      <c r="B776" t="s">
        <v>41</v>
      </c>
      <c r="C776" t="s">
        <v>27</v>
      </c>
      <c r="D776">
        <v>2023</v>
      </c>
      <c r="E776">
        <v>247504505</v>
      </c>
      <c r="G776">
        <v>171.97</v>
      </c>
      <c r="H776">
        <v>172.45</v>
      </c>
      <c r="I776">
        <v>11.35</v>
      </c>
      <c r="J776">
        <v>6.05</v>
      </c>
      <c r="K776">
        <v>57.07</v>
      </c>
      <c r="L776">
        <v>37.9</v>
      </c>
      <c r="M776">
        <v>22.44</v>
      </c>
      <c r="N776">
        <v>92.46</v>
      </c>
      <c r="O776">
        <v>6.6</v>
      </c>
      <c r="P776">
        <v>3.5179999999999998</v>
      </c>
      <c r="Q776">
        <v>33.186</v>
      </c>
      <c r="R776">
        <v>53.765000000000001</v>
      </c>
      <c r="S776">
        <v>46.234999999999999</v>
      </c>
      <c r="T776">
        <v>401.29</v>
      </c>
      <c r="U776">
        <v>7.83</v>
      </c>
      <c r="V776">
        <v>47</v>
      </c>
      <c r="W776">
        <v>-4.5999999999999996</v>
      </c>
      <c r="X776">
        <v>12.9</v>
      </c>
    </row>
    <row r="777" spans="1:25" x14ac:dyDescent="0.25">
      <c r="A777" t="s">
        <v>99</v>
      </c>
      <c r="B777" t="s">
        <v>41</v>
      </c>
      <c r="C777" t="s">
        <v>27</v>
      </c>
      <c r="D777">
        <v>2024</v>
      </c>
      <c r="E777">
        <v>251269160</v>
      </c>
      <c r="G777">
        <v>174.96</v>
      </c>
      <c r="H777">
        <v>175.44</v>
      </c>
      <c r="I777">
        <v>19.829999999999998</v>
      </c>
      <c r="J777">
        <v>5.16</v>
      </c>
      <c r="K777">
        <v>65.08</v>
      </c>
      <c r="L777">
        <v>38.270000000000003</v>
      </c>
      <c r="M777">
        <v>22.88</v>
      </c>
      <c r="N777">
        <v>87</v>
      </c>
      <c r="O777">
        <v>11.334</v>
      </c>
      <c r="P777">
        <v>2.9489999999999998</v>
      </c>
      <c r="Q777">
        <v>37.197000000000003</v>
      </c>
      <c r="R777">
        <v>49.725999999999999</v>
      </c>
      <c r="S777">
        <v>50.274000000000001</v>
      </c>
      <c r="T777">
        <v>373.69</v>
      </c>
      <c r="U777">
        <v>11.25</v>
      </c>
      <c r="V777">
        <v>74.7</v>
      </c>
      <c r="W777">
        <v>-14.7</v>
      </c>
      <c r="X777">
        <v>14</v>
      </c>
    </row>
    <row r="778" spans="1:25" x14ac:dyDescent="0.25">
      <c r="A778" t="s">
        <v>99</v>
      </c>
      <c r="B778" t="s">
        <v>41</v>
      </c>
      <c r="C778" t="s">
        <v>27</v>
      </c>
      <c r="D778">
        <v>2025</v>
      </c>
      <c r="E778">
        <v>255219560</v>
      </c>
      <c r="G778">
        <v>195.03</v>
      </c>
      <c r="H778">
        <v>195.51</v>
      </c>
      <c r="I778">
        <v>36.61</v>
      </c>
      <c r="J778">
        <v>5.74</v>
      </c>
      <c r="K778">
        <v>83.37</v>
      </c>
      <c r="L778">
        <v>39.35</v>
      </c>
      <c r="M778">
        <v>23.71</v>
      </c>
      <c r="N778">
        <v>87.95</v>
      </c>
      <c r="O778">
        <v>18.771000000000001</v>
      </c>
      <c r="P778">
        <v>2.9430000000000001</v>
      </c>
      <c r="Q778">
        <v>42.747</v>
      </c>
      <c r="R778">
        <v>45.095999999999997</v>
      </c>
      <c r="S778">
        <v>54.904000000000003</v>
      </c>
      <c r="T778">
        <v>346.56</v>
      </c>
      <c r="U778">
        <v>19.059999999999999</v>
      </c>
      <c r="V778">
        <v>84.6</v>
      </c>
      <c r="W778">
        <v>11.2</v>
      </c>
      <c r="X778">
        <v>28.1</v>
      </c>
    </row>
    <row r="779" spans="1:25" x14ac:dyDescent="0.25">
      <c r="A779" t="s">
        <v>101</v>
      </c>
      <c r="B779" t="s">
        <v>30</v>
      </c>
      <c r="C779" t="s">
        <v>31</v>
      </c>
      <c r="D779">
        <v>2000</v>
      </c>
      <c r="E779">
        <v>26598328</v>
      </c>
      <c r="F779">
        <v>128561599053</v>
      </c>
      <c r="G779">
        <v>19.920000000000002</v>
      </c>
      <c r="H779">
        <v>19.920000000000002</v>
      </c>
      <c r="I779">
        <v>0</v>
      </c>
      <c r="J779">
        <v>0</v>
      </c>
      <c r="K779">
        <v>16.329999999999998</v>
      </c>
      <c r="L779">
        <v>16.170000000000002</v>
      </c>
      <c r="M779">
        <v>0</v>
      </c>
      <c r="N779">
        <v>3.59</v>
      </c>
      <c r="O779">
        <v>0</v>
      </c>
      <c r="P779">
        <v>0</v>
      </c>
      <c r="Q779">
        <v>81.977999999999994</v>
      </c>
      <c r="R779">
        <v>18.021999999999998</v>
      </c>
      <c r="S779">
        <v>81.977999999999994</v>
      </c>
      <c r="T779">
        <v>141.06</v>
      </c>
      <c r="U779">
        <v>0</v>
      </c>
    </row>
    <row r="780" spans="1:25" x14ac:dyDescent="0.25">
      <c r="A780" t="s">
        <v>101</v>
      </c>
      <c r="B780" t="s">
        <v>30</v>
      </c>
      <c r="C780" t="s">
        <v>31</v>
      </c>
      <c r="D780">
        <v>2001</v>
      </c>
      <c r="E780">
        <v>26964610</v>
      </c>
      <c r="F780">
        <v>130005019162</v>
      </c>
      <c r="G780">
        <v>20.77</v>
      </c>
      <c r="H780">
        <v>20.77</v>
      </c>
      <c r="I780">
        <v>0</v>
      </c>
      <c r="J780">
        <v>0</v>
      </c>
      <c r="K780">
        <v>17.77</v>
      </c>
      <c r="L780">
        <v>17.61</v>
      </c>
      <c r="M780">
        <v>0</v>
      </c>
      <c r="N780">
        <v>3</v>
      </c>
      <c r="O780">
        <v>0</v>
      </c>
      <c r="P780">
        <v>0</v>
      </c>
      <c r="Q780">
        <v>85.555999999999997</v>
      </c>
      <c r="R780">
        <v>14.444000000000001</v>
      </c>
      <c r="S780">
        <v>85.555999999999997</v>
      </c>
      <c r="T780">
        <v>117.96</v>
      </c>
      <c r="U780">
        <v>0</v>
      </c>
      <c r="X780">
        <v>8.8000000000000007</v>
      </c>
    </row>
    <row r="781" spans="1:25" x14ac:dyDescent="0.25">
      <c r="A781" t="s">
        <v>101</v>
      </c>
      <c r="B781" t="s">
        <v>30</v>
      </c>
      <c r="C781" t="s">
        <v>31</v>
      </c>
      <c r="D781">
        <v>2002</v>
      </c>
      <c r="E781">
        <v>27288211</v>
      </c>
      <c r="F781">
        <v>137911092694</v>
      </c>
      <c r="G781">
        <v>21.99</v>
      </c>
      <c r="H781">
        <v>21.99</v>
      </c>
      <c r="I781">
        <v>0</v>
      </c>
      <c r="J781">
        <v>0</v>
      </c>
      <c r="K781">
        <v>18.23</v>
      </c>
      <c r="L781">
        <v>18.04</v>
      </c>
      <c r="M781">
        <v>0</v>
      </c>
      <c r="N781">
        <v>3.76</v>
      </c>
      <c r="O781">
        <v>0</v>
      </c>
      <c r="P781">
        <v>0</v>
      </c>
      <c r="Q781">
        <v>82.900999999999996</v>
      </c>
      <c r="R781">
        <v>17.099</v>
      </c>
      <c r="S781">
        <v>82.900999999999996</v>
      </c>
      <c r="T781">
        <v>139.15</v>
      </c>
      <c r="U781">
        <v>0</v>
      </c>
      <c r="X781">
        <v>2.6</v>
      </c>
    </row>
    <row r="782" spans="1:25" x14ac:dyDescent="0.25">
      <c r="A782" t="s">
        <v>101</v>
      </c>
      <c r="B782" t="s">
        <v>30</v>
      </c>
      <c r="C782" t="s">
        <v>31</v>
      </c>
      <c r="D782">
        <v>2003</v>
      </c>
      <c r="E782">
        <v>27580485</v>
      </c>
      <c r="F782">
        <v>144583674826</v>
      </c>
      <c r="G782">
        <v>22.93</v>
      </c>
      <c r="H782">
        <v>22.93</v>
      </c>
      <c r="I782">
        <v>0</v>
      </c>
      <c r="J782">
        <v>0</v>
      </c>
      <c r="K782">
        <v>18.73</v>
      </c>
      <c r="L782">
        <v>18.53</v>
      </c>
      <c r="M782">
        <v>0</v>
      </c>
      <c r="N782">
        <v>4.2</v>
      </c>
      <c r="O782">
        <v>0</v>
      </c>
      <c r="P782">
        <v>0</v>
      </c>
      <c r="Q782">
        <v>81.683000000000007</v>
      </c>
      <c r="R782">
        <v>18.317</v>
      </c>
      <c r="S782">
        <v>81.683000000000007</v>
      </c>
      <c r="T782">
        <v>145.66</v>
      </c>
      <c r="U782">
        <v>0</v>
      </c>
      <c r="X782">
        <v>2.7</v>
      </c>
    </row>
    <row r="783" spans="1:25" x14ac:dyDescent="0.25">
      <c r="A783" t="s">
        <v>101</v>
      </c>
      <c r="B783" t="s">
        <v>30</v>
      </c>
      <c r="C783" t="s">
        <v>31</v>
      </c>
      <c r="D783">
        <v>2004</v>
      </c>
      <c r="E783">
        <v>27852190</v>
      </c>
      <c r="F783">
        <v>152840586065</v>
      </c>
      <c r="G783">
        <v>24.25</v>
      </c>
      <c r="H783">
        <v>24.25</v>
      </c>
      <c r="I783">
        <v>0</v>
      </c>
      <c r="J783">
        <v>0</v>
      </c>
      <c r="K783">
        <v>17.670000000000002</v>
      </c>
      <c r="L783">
        <v>17.52</v>
      </c>
      <c r="M783">
        <v>0</v>
      </c>
      <c r="N783">
        <v>6.58</v>
      </c>
      <c r="O783">
        <v>0</v>
      </c>
      <c r="P783">
        <v>0</v>
      </c>
      <c r="Q783">
        <v>72.866</v>
      </c>
      <c r="R783">
        <v>27.134</v>
      </c>
      <c r="S783">
        <v>72.866</v>
      </c>
      <c r="T783">
        <v>200</v>
      </c>
      <c r="U783">
        <v>0</v>
      </c>
      <c r="X783">
        <v>-5.7</v>
      </c>
    </row>
    <row r="784" spans="1:25" x14ac:dyDescent="0.25">
      <c r="A784" t="s">
        <v>101</v>
      </c>
      <c r="B784" t="s">
        <v>30</v>
      </c>
      <c r="C784" t="s">
        <v>31</v>
      </c>
      <c r="D784">
        <v>2005</v>
      </c>
      <c r="E784">
        <v>28101175</v>
      </c>
      <c r="F784">
        <v>163489485317</v>
      </c>
      <c r="G784">
        <v>25.5</v>
      </c>
      <c r="H784">
        <v>25.5</v>
      </c>
      <c r="I784">
        <v>0</v>
      </c>
      <c r="J784">
        <v>0</v>
      </c>
      <c r="K784">
        <v>18.43</v>
      </c>
      <c r="L784">
        <v>18.079999999999998</v>
      </c>
      <c r="M784">
        <v>0</v>
      </c>
      <c r="N784">
        <v>7.07</v>
      </c>
      <c r="O784">
        <v>0</v>
      </c>
      <c r="P784">
        <v>0</v>
      </c>
      <c r="Q784">
        <v>72.275000000000006</v>
      </c>
      <c r="R784">
        <v>27.725000000000001</v>
      </c>
      <c r="S784">
        <v>72.275000000000006</v>
      </c>
      <c r="T784">
        <v>200</v>
      </c>
      <c r="U784">
        <v>0</v>
      </c>
      <c r="X784">
        <v>4.3</v>
      </c>
    </row>
    <row r="785" spans="1:25" x14ac:dyDescent="0.25">
      <c r="A785" t="s">
        <v>101</v>
      </c>
      <c r="B785" t="s">
        <v>30</v>
      </c>
      <c r="C785" t="s">
        <v>31</v>
      </c>
      <c r="D785">
        <v>2006</v>
      </c>
      <c r="E785">
        <v>28324488</v>
      </c>
      <c r="F785">
        <v>176775277493</v>
      </c>
      <c r="G785">
        <v>27.36</v>
      </c>
      <c r="H785">
        <v>27.36</v>
      </c>
      <c r="I785">
        <v>0</v>
      </c>
      <c r="J785">
        <v>0</v>
      </c>
      <c r="K785">
        <v>20.05</v>
      </c>
      <c r="L785">
        <v>19.7</v>
      </c>
      <c r="M785">
        <v>0</v>
      </c>
      <c r="N785">
        <v>7.31</v>
      </c>
      <c r="O785">
        <v>0</v>
      </c>
      <c r="P785">
        <v>0</v>
      </c>
      <c r="Q785">
        <v>73.281999999999996</v>
      </c>
      <c r="R785">
        <v>26.718</v>
      </c>
      <c r="S785">
        <v>73.281999999999996</v>
      </c>
      <c r="T785">
        <v>192.98</v>
      </c>
      <c r="U785">
        <v>0</v>
      </c>
      <c r="X785">
        <v>8.8000000000000007</v>
      </c>
    </row>
    <row r="786" spans="1:25" x14ac:dyDescent="0.25">
      <c r="A786" t="s">
        <v>101</v>
      </c>
      <c r="B786" t="s">
        <v>30</v>
      </c>
      <c r="C786" t="s">
        <v>31</v>
      </c>
      <c r="D786">
        <v>2007</v>
      </c>
      <c r="E786">
        <v>28530704</v>
      </c>
      <c r="F786">
        <v>192942634714</v>
      </c>
      <c r="G786">
        <v>29.93</v>
      </c>
      <c r="H786">
        <v>29.93</v>
      </c>
      <c r="I786">
        <v>0</v>
      </c>
      <c r="J786">
        <v>0</v>
      </c>
      <c r="K786">
        <v>19.97</v>
      </c>
      <c r="L786">
        <v>19.55</v>
      </c>
      <c r="M786">
        <v>0</v>
      </c>
      <c r="N786">
        <v>9.9600000000000009</v>
      </c>
      <c r="O786">
        <v>0</v>
      </c>
      <c r="P786">
        <v>0</v>
      </c>
      <c r="Q786">
        <v>66.721999999999994</v>
      </c>
      <c r="R786">
        <v>33.277999999999999</v>
      </c>
      <c r="S786">
        <v>66.721999999999994</v>
      </c>
      <c r="T786">
        <v>229.54</v>
      </c>
      <c r="U786">
        <v>0</v>
      </c>
      <c r="X786">
        <v>-0.4</v>
      </c>
    </row>
    <row r="787" spans="1:25" x14ac:dyDescent="0.25">
      <c r="A787" t="s">
        <v>101</v>
      </c>
      <c r="B787" t="s">
        <v>30</v>
      </c>
      <c r="C787" t="s">
        <v>31</v>
      </c>
      <c r="D787">
        <v>2008</v>
      </c>
      <c r="E787">
        <v>28719038</v>
      </c>
      <c r="F787">
        <v>211009673563</v>
      </c>
      <c r="G787">
        <v>32.43</v>
      </c>
      <c r="H787">
        <v>32.43</v>
      </c>
      <c r="I787">
        <v>0</v>
      </c>
      <c r="J787">
        <v>0</v>
      </c>
      <c r="K787">
        <v>19.5</v>
      </c>
      <c r="L787">
        <v>19.04</v>
      </c>
      <c r="M787">
        <v>0</v>
      </c>
      <c r="N787">
        <v>12.93</v>
      </c>
      <c r="O787">
        <v>0</v>
      </c>
      <c r="P787">
        <v>0</v>
      </c>
      <c r="Q787">
        <v>60.13</v>
      </c>
      <c r="R787">
        <v>39.869999999999997</v>
      </c>
      <c r="S787">
        <v>60.13</v>
      </c>
      <c r="T787">
        <v>269.2</v>
      </c>
      <c r="U787">
        <v>0</v>
      </c>
      <c r="X787">
        <v>-2.4</v>
      </c>
    </row>
    <row r="788" spans="1:25" x14ac:dyDescent="0.25">
      <c r="A788" t="s">
        <v>101</v>
      </c>
      <c r="B788" t="s">
        <v>30</v>
      </c>
      <c r="C788" t="s">
        <v>31</v>
      </c>
      <c r="D788">
        <v>2009</v>
      </c>
      <c r="E788">
        <v>28896819</v>
      </c>
      <c r="F788">
        <v>212830474173</v>
      </c>
      <c r="G788">
        <v>32.92</v>
      </c>
      <c r="H788">
        <v>32.86</v>
      </c>
      <c r="I788">
        <v>0</v>
      </c>
      <c r="J788">
        <v>0</v>
      </c>
      <c r="K788">
        <v>19.95</v>
      </c>
      <c r="L788">
        <v>19.489999999999998</v>
      </c>
      <c r="M788">
        <v>0</v>
      </c>
      <c r="N788">
        <v>12.97</v>
      </c>
      <c r="O788">
        <v>0</v>
      </c>
      <c r="P788">
        <v>0</v>
      </c>
      <c r="Q788">
        <v>60.600999999999999</v>
      </c>
      <c r="R788">
        <v>39.399000000000001</v>
      </c>
      <c r="S788">
        <v>60.600999999999999</v>
      </c>
      <c r="T788">
        <v>265.19</v>
      </c>
      <c r="U788">
        <v>0</v>
      </c>
      <c r="X788">
        <v>2.2999999999999998</v>
      </c>
    </row>
    <row r="789" spans="1:25" x14ac:dyDescent="0.25">
      <c r="A789" t="s">
        <v>101</v>
      </c>
      <c r="B789" t="s">
        <v>30</v>
      </c>
      <c r="C789" t="s">
        <v>31</v>
      </c>
      <c r="D789">
        <v>2010</v>
      </c>
      <c r="E789">
        <v>29086021</v>
      </c>
      <c r="F789">
        <v>230353256282</v>
      </c>
      <c r="G789">
        <v>35.89</v>
      </c>
      <c r="H789">
        <v>35.78</v>
      </c>
      <c r="I789">
        <v>0</v>
      </c>
      <c r="J789">
        <v>0</v>
      </c>
      <c r="K789">
        <v>20.71</v>
      </c>
      <c r="L789">
        <v>20.04</v>
      </c>
      <c r="M789">
        <v>0</v>
      </c>
      <c r="N789">
        <v>15.18</v>
      </c>
      <c r="O789">
        <v>0</v>
      </c>
      <c r="P789">
        <v>0</v>
      </c>
      <c r="Q789">
        <v>57.704000000000001</v>
      </c>
      <c r="R789">
        <v>42.295999999999999</v>
      </c>
      <c r="S789">
        <v>57.704000000000001</v>
      </c>
      <c r="T789">
        <v>283.08999999999997</v>
      </c>
      <c r="U789">
        <v>0</v>
      </c>
      <c r="X789">
        <v>3.8</v>
      </c>
    </row>
    <row r="790" spans="1:25" x14ac:dyDescent="0.25">
      <c r="A790" t="s">
        <v>101</v>
      </c>
      <c r="B790" t="s">
        <v>30</v>
      </c>
      <c r="C790" t="s">
        <v>31</v>
      </c>
      <c r="D790">
        <v>2011</v>
      </c>
      <c r="E790">
        <v>29304083</v>
      </c>
      <c r="F790">
        <v>244711917914</v>
      </c>
      <c r="G790">
        <v>39.229999999999997</v>
      </c>
      <c r="H790">
        <v>39.24</v>
      </c>
      <c r="I790">
        <v>0</v>
      </c>
      <c r="J790">
        <v>0</v>
      </c>
      <c r="K790">
        <v>22.27</v>
      </c>
      <c r="L790">
        <v>21.59</v>
      </c>
      <c r="M790">
        <v>0</v>
      </c>
      <c r="N790">
        <v>16.96</v>
      </c>
      <c r="O790">
        <v>0</v>
      </c>
      <c r="P790">
        <v>0</v>
      </c>
      <c r="Q790">
        <v>56.768000000000001</v>
      </c>
      <c r="R790">
        <v>43.231999999999999</v>
      </c>
      <c r="S790">
        <v>56.768000000000001</v>
      </c>
      <c r="T790">
        <v>286.52</v>
      </c>
      <c r="U790">
        <v>0</v>
      </c>
      <c r="X790">
        <v>7.5</v>
      </c>
    </row>
    <row r="791" spans="1:25" x14ac:dyDescent="0.25">
      <c r="A791" t="s">
        <v>101</v>
      </c>
      <c r="B791" t="s">
        <v>30</v>
      </c>
      <c r="C791" t="s">
        <v>31</v>
      </c>
      <c r="D791">
        <v>2012</v>
      </c>
      <c r="E791">
        <v>29550367</v>
      </c>
      <c r="F791">
        <v>259737230567</v>
      </c>
      <c r="G791">
        <v>39.96</v>
      </c>
      <c r="H791">
        <v>39.96</v>
      </c>
      <c r="I791">
        <v>0.06</v>
      </c>
      <c r="J791">
        <v>0</v>
      </c>
      <c r="K791">
        <v>22.08</v>
      </c>
      <c r="L791">
        <v>21.35</v>
      </c>
      <c r="M791">
        <v>0</v>
      </c>
      <c r="N791">
        <v>17.88</v>
      </c>
      <c r="O791">
        <v>0.15</v>
      </c>
      <c r="P791">
        <v>0</v>
      </c>
      <c r="Q791">
        <v>55.255000000000003</v>
      </c>
      <c r="R791">
        <v>44.744999999999997</v>
      </c>
      <c r="S791">
        <v>55.255000000000003</v>
      </c>
      <c r="T791">
        <v>297.55</v>
      </c>
      <c r="U791">
        <v>0.03</v>
      </c>
      <c r="X791">
        <v>-0.9</v>
      </c>
    </row>
    <row r="792" spans="1:25" x14ac:dyDescent="0.25">
      <c r="A792" t="s">
        <v>101</v>
      </c>
      <c r="B792" t="s">
        <v>30</v>
      </c>
      <c r="C792" t="s">
        <v>31</v>
      </c>
      <c r="D792">
        <v>2013</v>
      </c>
      <c r="E792">
        <v>29817908</v>
      </c>
      <c r="F792">
        <v>274939626306</v>
      </c>
      <c r="G792">
        <v>43.51</v>
      </c>
      <c r="H792">
        <v>43.51</v>
      </c>
      <c r="I792">
        <v>0.2</v>
      </c>
      <c r="J792">
        <v>0</v>
      </c>
      <c r="K792">
        <v>23.47</v>
      </c>
      <c r="L792">
        <v>22.31</v>
      </c>
      <c r="M792">
        <v>0</v>
      </c>
      <c r="N792">
        <v>20.04</v>
      </c>
      <c r="O792">
        <v>0.46</v>
      </c>
      <c r="P792">
        <v>0</v>
      </c>
      <c r="Q792">
        <v>53.942</v>
      </c>
      <c r="R792">
        <v>46.058</v>
      </c>
      <c r="S792">
        <v>53.942</v>
      </c>
      <c r="T792">
        <v>304.99</v>
      </c>
      <c r="U792">
        <v>0.09</v>
      </c>
      <c r="V792">
        <v>233.3</v>
      </c>
      <c r="X792">
        <v>6.3</v>
      </c>
    </row>
    <row r="793" spans="1:25" x14ac:dyDescent="0.25">
      <c r="A793" t="s">
        <v>101</v>
      </c>
      <c r="B793" t="s">
        <v>30</v>
      </c>
      <c r="C793" t="s">
        <v>31</v>
      </c>
      <c r="D793">
        <v>2014</v>
      </c>
      <c r="E793">
        <v>30115825</v>
      </c>
      <c r="F793">
        <v>281488723310</v>
      </c>
      <c r="G793">
        <v>45.73</v>
      </c>
      <c r="H793">
        <v>45.72</v>
      </c>
      <c r="I793">
        <v>0.2</v>
      </c>
      <c r="J793">
        <v>0.26</v>
      </c>
      <c r="K793">
        <v>23.95</v>
      </c>
      <c r="L793">
        <v>22.2</v>
      </c>
      <c r="M793">
        <v>0</v>
      </c>
      <c r="N793">
        <v>21.78</v>
      </c>
      <c r="O793">
        <v>0.437</v>
      </c>
      <c r="P793">
        <v>0.56899999999999995</v>
      </c>
      <c r="Q793">
        <v>52.372999999999998</v>
      </c>
      <c r="R793">
        <v>47.627000000000002</v>
      </c>
      <c r="S793">
        <v>52.372999999999998</v>
      </c>
      <c r="T793">
        <v>309.64</v>
      </c>
      <c r="U793">
        <v>0.21</v>
      </c>
      <c r="V793">
        <v>0</v>
      </c>
      <c r="X793">
        <v>2</v>
      </c>
    </row>
    <row r="794" spans="1:25" x14ac:dyDescent="0.25">
      <c r="A794" t="s">
        <v>101</v>
      </c>
      <c r="B794" t="s">
        <v>30</v>
      </c>
      <c r="C794" t="s">
        <v>31</v>
      </c>
      <c r="D794">
        <v>2015</v>
      </c>
      <c r="E794">
        <v>30457598</v>
      </c>
      <c r="F794">
        <v>290642734598</v>
      </c>
      <c r="G794">
        <v>48.27</v>
      </c>
      <c r="H794">
        <v>48.22</v>
      </c>
      <c r="I794">
        <v>0.23</v>
      </c>
      <c r="J794">
        <v>0.6</v>
      </c>
      <c r="K794">
        <v>25.45</v>
      </c>
      <c r="L794">
        <v>23.71</v>
      </c>
      <c r="M794">
        <v>0</v>
      </c>
      <c r="N794">
        <v>22.82</v>
      </c>
      <c r="O794">
        <v>0.47599999999999998</v>
      </c>
      <c r="P794">
        <v>1.2430000000000001</v>
      </c>
      <c r="Q794">
        <v>52.723999999999997</v>
      </c>
      <c r="R794">
        <v>47.276000000000003</v>
      </c>
      <c r="S794">
        <v>52.723999999999997</v>
      </c>
      <c r="T794">
        <v>305.77999999999997</v>
      </c>
      <c r="U794">
        <v>0.37</v>
      </c>
      <c r="V794">
        <v>15</v>
      </c>
      <c r="W794">
        <v>130.80000000000001</v>
      </c>
      <c r="X794">
        <v>6.3</v>
      </c>
    </row>
    <row r="795" spans="1:25" x14ac:dyDescent="0.25">
      <c r="A795" t="s">
        <v>101</v>
      </c>
      <c r="B795" t="s">
        <v>30</v>
      </c>
      <c r="C795" t="s">
        <v>31</v>
      </c>
      <c r="D795">
        <v>2016</v>
      </c>
      <c r="E795">
        <v>30866497</v>
      </c>
      <c r="F795">
        <v>302131843581</v>
      </c>
      <c r="G795">
        <v>51.63</v>
      </c>
      <c r="H795">
        <v>51.61</v>
      </c>
      <c r="I795">
        <v>0.24</v>
      </c>
      <c r="J795">
        <v>1.06</v>
      </c>
      <c r="K795">
        <v>26.02</v>
      </c>
      <c r="L795">
        <v>24.16</v>
      </c>
      <c r="M795">
        <v>0</v>
      </c>
      <c r="N795">
        <v>25.61</v>
      </c>
      <c r="O795">
        <v>0.46500000000000002</v>
      </c>
      <c r="P795">
        <v>2.0529999999999999</v>
      </c>
      <c r="Q795">
        <v>50.396999999999998</v>
      </c>
      <c r="R795">
        <v>49.603000000000002</v>
      </c>
      <c r="S795">
        <v>50.396999999999998</v>
      </c>
      <c r="T795">
        <v>320.94</v>
      </c>
      <c r="U795">
        <v>0.57999999999999996</v>
      </c>
      <c r="V795">
        <v>4.3</v>
      </c>
      <c r="W795">
        <v>76.7</v>
      </c>
      <c r="X795">
        <v>2.2000000000000002</v>
      </c>
    </row>
    <row r="796" spans="1:25" x14ac:dyDescent="0.25">
      <c r="A796" t="s">
        <v>101</v>
      </c>
      <c r="B796" t="s">
        <v>30</v>
      </c>
      <c r="C796" t="s">
        <v>31</v>
      </c>
      <c r="D796">
        <v>2017</v>
      </c>
      <c r="E796">
        <v>31324639</v>
      </c>
      <c r="F796">
        <v>309742529723</v>
      </c>
      <c r="G796">
        <v>52.71</v>
      </c>
      <c r="H796">
        <v>52.73</v>
      </c>
      <c r="I796">
        <v>0.28999999999999998</v>
      </c>
      <c r="J796">
        <v>1.07</v>
      </c>
      <c r="K796">
        <v>30.89</v>
      </c>
      <c r="L796">
        <v>29.06</v>
      </c>
      <c r="M796">
        <v>0</v>
      </c>
      <c r="N796">
        <v>21.82</v>
      </c>
      <c r="O796">
        <v>0.55000000000000004</v>
      </c>
      <c r="P796">
        <v>2.0299999999999998</v>
      </c>
      <c r="Q796">
        <v>58.603999999999999</v>
      </c>
      <c r="R796">
        <v>41.396000000000001</v>
      </c>
      <c r="S796">
        <v>58.603999999999999</v>
      </c>
      <c r="T796">
        <v>271.49</v>
      </c>
      <c r="U796">
        <v>0.61</v>
      </c>
      <c r="V796">
        <v>20.8</v>
      </c>
      <c r="W796">
        <v>0.9</v>
      </c>
      <c r="X796">
        <v>18.7</v>
      </c>
    </row>
    <row r="797" spans="1:25" x14ac:dyDescent="0.25">
      <c r="A797" t="s">
        <v>101</v>
      </c>
      <c r="B797" t="s">
        <v>30</v>
      </c>
      <c r="C797" t="s">
        <v>31</v>
      </c>
      <c r="D797">
        <v>2018</v>
      </c>
      <c r="E797">
        <v>31897590</v>
      </c>
      <c r="F797">
        <v>322061010919</v>
      </c>
      <c r="G797">
        <v>54.62</v>
      </c>
      <c r="H797">
        <v>54.64</v>
      </c>
      <c r="I797">
        <v>0.75</v>
      </c>
      <c r="J797">
        <v>1.5</v>
      </c>
      <c r="K797">
        <v>33.39</v>
      </c>
      <c r="L797">
        <v>30.72</v>
      </c>
      <c r="M797">
        <v>0</v>
      </c>
      <c r="N797">
        <v>21.23</v>
      </c>
      <c r="O797">
        <v>1.373</v>
      </c>
      <c r="P797">
        <v>2.746</v>
      </c>
      <c r="Q797">
        <v>61.131</v>
      </c>
      <c r="R797">
        <v>38.869</v>
      </c>
      <c r="S797">
        <v>61.131</v>
      </c>
      <c r="T797">
        <v>252.84</v>
      </c>
      <c r="U797">
        <v>1.01</v>
      </c>
      <c r="V797">
        <v>158.6</v>
      </c>
      <c r="W797">
        <v>40.200000000000003</v>
      </c>
      <c r="X797">
        <v>8.1</v>
      </c>
    </row>
    <row r="798" spans="1:25" x14ac:dyDescent="0.25">
      <c r="A798" t="s">
        <v>101</v>
      </c>
      <c r="B798" t="s">
        <v>30</v>
      </c>
      <c r="C798" t="s">
        <v>31</v>
      </c>
      <c r="D798">
        <v>2019</v>
      </c>
      <c r="E798">
        <v>32449302</v>
      </c>
      <c r="F798">
        <v>329252610797</v>
      </c>
      <c r="G798">
        <v>56.87</v>
      </c>
      <c r="H798">
        <v>56.93</v>
      </c>
      <c r="I798">
        <v>0.78</v>
      </c>
      <c r="J798">
        <v>1.65</v>
      </c>
      <c r="K798">
        <v>34.43</v>
      </c>
      <c r="L798">
        <v>31.45</v>
      </c>
      <c r="M798">
        <v>0</v>
      </c>
      <c r="N798">
        <v>22.44</v>
      </c>
      <c r="O798">
        <v>1.3720000000000001</v>
      </c>
      <c r="P798">
        <v>2.9009999999999998</v>
      </c>
      <c r="Q798">
        <v>60.542000000000002</v>
      </c>
      <c r="R798">
        <v>39.457999999999998</v>
      </c>
      <c r="S798">
        <v>60.542000000000002</v>
      </c>
      <c r="T798">
        <v>256.73</v>
      </c>
      <c r="U798">
        <v>1.0900000000000001</v>
      </c>
      <c r="V798">
        <v>4</v>
      </c>
      <c r="W798">
        <v>10</v>
      </c>
      <c r="X798">
        <v>3.1</v>
      </c>
    </row>
    <row r="799" spans="1:25" x14ac:dyDescent="0.25">
      <c r="A799" t="s">
        <v>101</v>
      </c>
      <c r="B799" t="s">
        <v>30</v>
      </c>
      <c r="C799" t="s">
        <v>31</v>
      </c>
      <c r="D799">
        <v>2020</v>
      </c>
      <c r="E799">
        <v>32838577</v>
      </c>
      <c r="F799">
        <v>292988745490</v>
      </c>
      <c r="G799">
        <v>52.99</v>
      </c>
      <c r="H799">
        <v>53.03</v>
      </c>
      <c r="I799">
        <v>0.79</v>
      </c>
      <c r="J799">
        <v>1.81</v>
      </c>
      <c r="K799">
        <v>33.64</v>
      </c>
      <c r="L799">
        <v>30.5</v>
      </c>
      <c r="M799">
        <v>0</v>
      </c>
      <c r="N799">
        <v>19.350000000000001</v>
      </c>
      <c r="O799">
        <v>1.4910000000000001</v>
      </c>
      <c r="P799">
        <v>3.4159999999999999</v>
      </c>
      <c r="Q799">
        <v>63.484000000000002</v>
      </c>
      <c r="R799">
        <v>36.515999999999998</v>
      </c>
      <c r="S799">
        <v>63.484000000000002</v>
      </c>
      <c r="T799">
        <v>239.67</v>
      </c>
      <c r="U799">
        <v>1.17</v>
      </c>
      <c r="V799">
        <v>1.3</v>
      </c>
      <c r="W799">
        <v>9.6999999999999993</v>
      </c>
      <c r="X799">
        <v>-2.2999999999999998</v>
      </c>
    </row>
    <row r="800" spans="1:25" x14ac:dyDescent="0.25">
      <c r="A800" t="s">
        <v>101</v>
      </c>
      <c r="B800" t="s">
        <v>30</v>
      </c>
      <c r="C800" t="s">
        <v>31</v>
      </c>
      <c r="D800">
        <v>2021</v>
      </c>
      <c r="E800">
        <v>33155883</v>
      </c>
      <c r="F800">
        <v>332691638600</v>
      </c>
      <c r="G800">
        <v>56.99</v>
      </c>
      <c r="H800">
        <v>57.03</v>
      </c>
      <c r="I800">
        <v>0.8</v>
      </c>
      <c r="J800">
        <v>1.82</v>
      </c>
      <c r="K800">
        <v>35.090000000000003</v>
      </c>
      <c r="L800">
        <v>31.89</v>
      </c>
      <c r="M800">
        <v>0</v>
      </c>
      <c r="N800">
        <v>21.9</v>
      </c>
      <c r="O800">
        <v>1.4039999999999999</v>
      </c>
      <c r="P800">
        <v>3.194</v>
      </c>
      <c r="Q800">
        <v>61.572000000000003</v>
      </c>
      <c r="R800">
        <v>38.427999999999997</v>
      </c>
      <c r="S800">
        <v>61.572000000000003</v>
      </c>
      <c r="T800">
        <v>250.92</v>
      </c>
      <c r="U800">
        <v>1.18</v>
      </c>
      <c r="V800">
        <v>1.3</v>
      </c>
      <c r="W800">
        <v>0.6</v>
      </c>
      <c r="X800">
        <v>4.3</v>
      </c>
      <c r="Y800" t="s">
        <v>102</v>
      </c>
    </row>
    <row r="801" spans="1:24" x14ac:dyDescent="0.25">
      <c r="A801" t="s">
        <v>101</v>
      </c>
      <c r="B801" t="s">
        <v>30</v>
      </c>
      <c r="C801" t="s">
        <v>31</v>
      </c>
      <c r="D801">
        <v>2022</v>
      </c>
      <c r="E801">
        <v>33475436</v>
      </c>
      <c r="F801">
        <v>341677633395</v>
      </c>
      <c r="G801">
        <v>59.9</v>
      </c>
      <c r="H801">
        <v>59.94</v>
      </c>
      <c r="I801">
        <v>0.84</v>
      </c>
      <c r="J801">
        <v>1.93</v>
      </c>
      <c r="K801">
        <v>33.090000000000003</v>
      </c>
      <c r="L801">
        <v>29.73</v>
      </c>
      <c r="M801">
        <v>0</v>
      </c>
      <c r="N801">
        <v>26.81</v>
      </c>
      <c r="O801">
        <v>1.4019999999999999</v>
      </c>
      <c r="P801">
        <v>3.222</v>
      </c>
      <c r="Q801">
        <v>55.241999999999997</v>
      </c>
      <c r="R801">
        <v>44.758000000000003</v>
      </c>
      <c r="S801">
        <v>55.241999999999997</v>
      </c>
      <c r="T801">
        <v>287.81</v>
      </c>
      <c r="U801">
        <v>1.25</v>
      </c>
      <c r="V801">
        <v>5</v>
      </c>
      <c r="W801">
        <v>6</v>
      </c>
      <c r="X801">
        <v>-5.7</v>
      </c>
    </row>
    <row r="802" spans="1:24" x14ac:dyDescent="0.25">
      <c r="A802" t="s">
        <v>101</v>
      </c>
      <c r="B802" t="s">
        <v>30</v>
      </c>
      <c r="C802" t="s">
        <v>31</v>
      </c>
      <c r="D802">
        <v>2023</v>
      </c>
      <c r="E802">
        <v>33845616</v>
      </c>
      <c r="G802">
        <v>60.87</v>
      </c>
      <c r="H802">
        <v>60.9</v>
      </c>
      <c r="I802">
        <v>0.84</v>
      </c>
      <c r="J802">
        <v>1.93</v>
      </c>
      <c r="K802">
        <v>33.1</v>
      </c>
      <c r="L802">
        <v>29.73</v>
      </c>
      <c r="M802">
        <v>0</v>
      </c>
      <c r="N802">
        <v>27.77</v>
      </c>
      <c r="O802">
        <v>1.38</v>
      </c>
      <c r="P802">
        <v>3.1709999999999998</v>
      </c>
      <c r="Q802">
        <v>54.378</v>
      </c>
      <c r="R802">
        <v>45.622</v>
      </c>
      <c r="S802">
        <v>54.378</v>
      </c>
      <c r="T802">
        <v>291.77</v>
      </c>
      <c r="U802">
        <v>1.25</v>
      </c>
      <c r="V802">
        <v>0</v>
      </c>
      <c r="W802">
        <v>0</v>
      </c>
      <c r="X802">
        <v>0</v>
      </c>
    </row>
    <row r="803" spans="1:24" x14ac:dyDescent="0.25">
      <c r="A803" t="s">
        <v>101</v>
      </c>
      <c r="B803" t="s">
        <v>30</v>
      </c>
      <c r="C803" t="s">
        <v>31</v>
      </c>
      <c r="D803">
        <v>2024</v>
      </c>
      <c r="E803">
        <v>34217850</v>
      </c>
      <c r="G803">
        <v>59.29</v>
      </c>
      <c r="H803">
        <v>59.32</v>
      </c>
      <c r="I803">
        <v>0.95</v>
      </c>
      <c r="J803">
        <v>2.09</v>
      </c>
      <c r="K803">
        <v>35.64</v>
      </c>
      <c r="L803">
        <v>32</v>
      </c>
      <c r="M803">
        <v>0</v>
      </c>
      <c r="N803">
        <v>23.65</v>
      </c>
      <c r="O803">
        <v>1.6020000000000001</v>
      </c>
      <c r="P803">
        <v>3.5249999999999999</v>
      </c>
      <c r="Q803">
        <v>60.110999999999997</v>
      </c>
      <c r="R803">
        <v>39.889000000000003</v>
      </c>
      <c r="S803">
        <v>60.110999999999997</v>
      </c>
      <c r="T803">
        <v>258.73</v>
      </c>
      <c r="U803">
        <v>1.37</v>
      </c>
      <c r="V803">
        <v>13.1</v>
      </c>
      <c r="W803">
        <v>8.3000000000000007</v>
      </c>
      <c r="X803">
        <v>7.7</v>
      </c>
    </row>
    <row r="804" spans="1:24" x14ac:dyDescent="0.25">
      <c r="A804" t="s">
        <v>101</v>
      </c>
      <c r="B804" t="s">
        <v>30</v>
      </c>
      <c r="C804" t="s">
        <v>31</v>
      </c>
      <c r="D804">
        <v>2025</v>
      </c>
      <c r="E804">
        <v>34576673</v>
      </c>
      <c r="G804">
        <v>60.44</v>
      </c>
      <c r="H804">
        <v>60.47</v>
      </c>
      <c r="I804">
        <v>1.83</v>
      </c>
      <c r="J804">
        <v>2.11</v>
      </c>
      <c r="K804">
        <v>38.47</v>
      </c>
      <c r="L804">
        <v>33.880000000000003</v>
      </c>
      <c r="M804">
        <v>0</v>
      </c>
      <c r="N804">
        <v>21.97</v>
      </c>
      <c r="O804">
        <v>3.028</v>
      </c>
      <c r="P804">
        <v>3.4910000000000001</v>
      </c>
      <c r="Q804">
        <v>63.65</v>
      </c>
      <c r="R804">
        <v>36.35</v>
      </c>
      <c r="S804">
        <v>63.65</v>
      </c>
      <c r="T804">
        <v>238.25</v>
      </c>
      <c r="U804">
        <v>1.77</v>
      </c>
      <c r="V804">
        <v>92.6</v>
      </c>
      <c r="W804">
        <v>1</v>
      </c>
      <c r="X804">
        <v>7.9</v>
      </c>
    </row>
    <row r="805" spans="1:24" x14ac:dyDescent="0.25">
      <c r="A805" t="s">
        <v>103</v>
      </c>
      <c r="B805" t="s">
        <v>41</v>
      </c>
      <c r="C805" t="s">
        <v>27</v>
      </c>
      <c r="D805">
        <v>2000</v>
      </c>
      <c r="E805">
        <v>79625401</v>
      </c>
      <c r="F805">
        <v>327247671365</v>
      </c>
      <c r="G805">
        <v>45.3</v>
      </c>
      <c r="H805">
        <v>45.3</v>
      </c>
      <c r="I805">
        <v>0</v>
      </c>
      <c r="J805">
        <v>0</v>
      </c>
      <c r="K805">
        <v>19.43</v>
      </c>
      <c r="L805">
        <v>7.8</v>
      </c>
      <c r="M805">
        <v>0</v>
      </c>
      <c r="N805">
        <v>25.87</v>
      </c>
      <c r="O805">
        <v>0</v>
      </c>
      <c r="P805">
        <v>0</v>
      </c>
      <c r="Q805">
        <v>42.892000000000003</v>
      </c>
      <c r="R805">
        <v>57.107999999999997</v>
      </c>
      <c r="S805">
        <v>42.892000000000003</v>
      </c>
      <c r="T805">
        <v>468.21</v>
      </c>
      <c r="U805">
        <v>0</v>
      </c>
    </row>
    <row r="806" spans="1:24" x14ac:dyDescent="0.25">
      <c r="A806" t="s">
        <v>103</v>
      </c>
      <c r="B806" t="s">
        <v>41</v>
      </c>
      <c r="C806" t="s">
        <v>27</v>
      </c>
      <c r="D806">
        <v>2001</v>
      </c>
      <c r="E806">
        <v>81401488</v>
      </c>
      <c r="F806">
        <v>339580401272</v>
      </c>
      <c r="G806">
        <v>47.05</v>
      </c>
      <c r="H806">
        <v>47.05</v>
      </c>
      <c r="I806">
        <v>0</v>
      </c>
      <c r="J806">
        <v>0</v>
      </c>
      <c r="K806">
        <v>17.54</v>
      </c>
      <c r="L806">
        <v>7.1</v>
      </c>
      <c r="M806">
        <v>0</v>
      </c>
      <c r="N806">
        <v>29.51</v>
      </c>
      <c r="O806">
        <v>0</v>
      </c>
      <c r="P806">
        <v>0</v>
      </c>
      <c r="Q806">
        <v>37.279000000000003</v>
      </c>
      <c r="R806">
        <v>62.720999999999997</v>
      </c>
      <c r="S806">
        <v>37.279000000000003</v>
      </c>
      <c r="T806">
        <v>506.06</v>
      </c>
      <c r="U806">
        <v>0</v>
      </c>
      <c r="X806">
        <v>-9.6999999999999993</v>
      </c>
    </row>
    <row r="807" spans="1:24" x14ac:dyDescent="0.25">
      <c r="A807" t="s">
        <v>103</v>
      </c>
      <c r="B807" t="s">
        <v>41</v>
      </c>
      <c r="C807" t="s">
        <v>27</v>
      </c>
      <c r="D807">
        <v>2002</v>
      </c>
      <c r="E807">
        <v>83068889</v>
      </c>
      <c r="F807">
        <v>354896572700</v>
      </c>
      <c r="G807">
        <v>48.46</v>
      </c>
      <c r="H807">
        <v>48.46</v>
      </c>
      <c r="I807">
        <v>0</v>
      </c>
      <c r="J807">
        <v>0</v>
      </c>
      <c r="K807">
        <v>17.27</v>
      </c>
      <c r="L807">
        <v>7.03</v>
      </c>
      <c r="M807">
        <v>0</v>
      </c>
      <c r="N807">
        <v>31.19</v>
      </c>
      <c r="O807">
        <v>0</v>
      </c>
      <c r="P807">
        <v>0</v>
      </c>
      <c r="Q807">
        <v>35.637999999999998</v>
      </c>
      <c r="R807">
        <v>64.361999999999995</v>
      </c>
      <c r="S807">
        <v>35.637999999999998</v>
      </c>
      <c r="T807">
        <v>467.19</v>
      </c>
      <c r="U807">
        <v>0</v>
      </c>
      <c r="X807">
        <v>-1.5</v>
      </c>
    </row>
    <row r="808" spans="1:24" x14ac:dyDescent="0.25">
      <c r="A808" t="s">
        <v>103</v>
      </c>
      <c r="B808" t="s">
        <v>41</v>
      </c>
      <c r="C808" t="s">
        <v>27</v>
      </c>
      <c r="D808">
        <v>2003</v>
      </c>
      <c r="E808">
        <v>84731836</v>
      </c>
      <c r="F808">
        <v>375676507230</v>
      </c>
      <c r="G808">
        <v>52.94</v>
      </c>
      <c r="H808">
        <v>52.94</v>
      </c>
      <c r="I808">
        <v>0</v>
      </c>
      <c r="J808">
        <v>0</v>
      </c>
      <c r="K808">
        <v>17.690000000000001</v>
      </c>
      <c r="L808">
        <v>7.87</v>
      </c>
      <c r="M808">
        <v>0</v>
      </c>
      <c r="N808">
        <v>35.25</v>
      </c>
      <c r="O808">
        <v>0</v>
      </c>
      <c r="P808">
        <v>0</v>
      </c>
      <c r="Q808">
        <v>33.414999999999999</v>
      </c>
      <c r="R808">
        <v>66.584999999999994</v>
      </c>
      <c r="S808">
        <v>33.414999999999999</v>
      </c>
      <c r="T808">
        <v>455.61</v>
      </c>
      <c r="U808">
        <v>0</v>
      </c>
      <c r="X808">
        <v>2.4</v>
      </c>
    </row>
    <row r="809" spans="1:24" x14ac:dyDescent="0.25">
      <c r="A809" t="s">
        <v>103</v>
      </c>
      <c r="B809" t="s">
        <v>41</v>
      </c>
      <c r="C809" t="s">
        <v>27</v>
      </c>
      <c r="D809">
        <v>2004</v>
      </c>
      <c r="E809">
        <v>86394510</v>
      </c>
      <c r="F809">
        <v>404092179609</v>
      </c>
      <c r="G809">
        <v>55.94</v>
      </c>
      <c r="H809">
        <v>55.94</v>
      </c>
      <c r="I809">
        <v>0</v>
      </c>
      <c r="J809">
        <v>0</v>
      </c>
      <c r="K809">
        <v>18.87</v>
      </c>
      <c r="L809">
        <v>8.59</v>
      </c>
      <c r="M809">
        <v>0</v>
      </c>
      <c r="N809">
        <v>37.07</v>
      </c>
      <c r="O809">
        <v>0</v>
      </c>
      <c r="P809">
        <v>0</v>
      </c>
      <c r="Q809">
        <v>33.732999999999997</v>
      </c>
      <c r="R809">
        <v>66.266999999999996</v>
      </c>
      <c r="S809">
        <v>33.732999999999997</v>
      </c>
      <c r="T809">
        <v>460.67</v>
      </c>
      <c r="U809">
        <v>0</v>
      </c>
      <c r="X809">
        <v>6.7</v>
      </c>
    </row>
    <row r="810" spans="1:24" x14ac:dyDescent="0.25">
      <c r="A810" t="s">
        <v>103</v>
      </c>
      <c r="B810" t="s">
        <v>41</v>
      </c>
      <c r="C810" t="s">
        <v>27</v>
      </c>
      <c r="D810">
        <v>2005</v>
      </c>
      <c r="E810">
        <v>88015959</v>
      </c>
      <c r="F810">
        <v>426864086040</v>
      </c>
      <c r="G810">
        <v>56.57</v>
      </c>
      <c r="H810">
        <v>56.57</v>
      </c>
      <c r="I810">
        <v>0</v>
      </c>
      <c r="J810">
        <v>0.02</v>
      </c>
      <c r="K810">
        <v>18.309999999999999</v>
      </c>
      <c r="L810">
        <v>8.39</v>
      </c>
      <c r="M810">
        <v>0</v>
      </c>
      <c r="N810">
        <v>38.26</v>
      </c>
      <c r="O810">
        <v>0</v>
      </c>
      <c r="P810">
        <v>3.5000000000000003E-2</v>
      </c>
      <c r="Q810">
        <v>32.366999999999997</v>
      </c>
      <c r="R810">
        <v>67.632999999999996</v>
      </c>
      <c r="S810">
        <v>32.366999999999997</v>
      </c>
      <c r="T810">
        <v>448.65</v>
      </c>
      <c r="U810">
        <v>0.01</v>
      </c>
      <c r="X810">
        <v>-3</v>
      </c>
    </row>
    <row r="811" spans="1:24" x14ac:dyDescent="0.25">
      <c r="A811" t="s">
        <v>103</v>
      </c>
      <c r="B811" t="s">
        <v>41</v>
      </c>
      <c r="C811" t="s">
        <v>27</v>
      </c>
      <c r="D811">
        <v>2006</v>
      </c>
      <c r="E811">
        <v>89508992</v>
      </c>
      <c r="F811">
        <v>452834616353</v>
      </c>
      <c r="G811">
        <v>56.78</v>
      </c>
      <c r="H811">
        <v>56.78</v>
      </c>
      <c r="I811">
        <v>0</v>
      </c>
      <c r="J811">
        <v>0.05</v>
      </c>
      <c r="K811">
        <v>20.46</v>
      </c>
      <c r="L811">
        <v>9.94</v>
      </c>
      <c r="M811">
        <v>0</v>
      </c>
      <c r="N811">
        <v>36.32</v>
      </c>
      <c r="O811">
        <v>0</v>
      </c>
      <c r="P811">
        <v>8.7999999999999995E-2</v>
      </c>
      <c r="Q811">
        <v>36.033999999999999</v>
      </c>
      <c r="R811">
        <v>63.966000000000001</v>
      </c>
      <c r="S811">
        <v>36.033999999999999</v>
      </c>
      <c r="T811">
        <v>427.44</v>
      </c>
      <c r="U811">
        <v>0.02</v>
      </c>
      <c r="W811">
        <v>150</v>
      </c>
      <c r="X811">
        <v>11.7</v>
      </c>
    </row>
    <row r="812" spans="1:24" x14ac:dyDescent="0.25">
      <c r="A812" t="s">
        <v>103</v>
      </c>
      <c r="B812" t="s">
        <v>41</v>
      </c>
      <c r="C812" t="s">
        <v>27</v>
      </c>
      <c r="D812">
        <v>2007</v>
      </c>
      <c r="E812">
        <v>91075180</v>
      </c>
      <c r="F812">
        <v>486739179739</v>
      </c>
      <c r="G812">
        <v>59.62</v>
      </c>
      <c r="H812">
        <v>59.62</v>
      </c>
      <c r="I812">
        <v>0</v>
      </c>
      <c r="J812">
        <v>0.06</v>
      </c>
      <c r="K812">
        <v>18.84</v>
      </c>
      <c r="L812">
        <v>8.56</v>
      </c>
      <c r="M812">
        <v>0</v>
      </c>
      <c r="N812">
        <v>40.78</v>
      </c>
      <c r="O812">
        <v>0</v>
      </c>
      <c r="P812">
        <v>0.10100000000000001</v>
      </c>
      <c r="Q812">
        <v>31.6</v>
      </c>
      <c r="R812">
        <v>68.400000000000006</v>
      </c>
      <c r="S812">
        <v>31.6</v>
      </c>
      <c r="T812">
        <v>452.2</v>
      </c>
      <c r="U812">
        <v>0.03</v>
      </c>
      <c r="W812">
        <v>20</v>
      </c>
      <c r="X812">
        <v>-7.9</v>
      </c>
    </row>
    <row r="813" spans="1:24" x14ac:dyDescent="0.25">
      <c r="A813" t="s">
        <v>103</v>
      </c>
      <c r="B813" t="s">
        <v>41</v>
      </c>
      <c r="C813" t="s">
        <v>27</v>
      </c>
      <c r="D813">
        <v>2008</v>
      </c>
      <c r="E813">
        <v>92699091</v>
      </c>
      <c r="F813">
        <v>511142140299</v>
      </c>
      <c r="G813">
        <v>60.82</v>
      </c>
      <c r="H813">
        <v>60.82</v>
      </c>
      <c r="I813">
        <v>0</v>
      </c>
      <c r="J813">
        <v>0.06</v>
      </c>
      <c r="K813">
        <v>20.62</v>
      </c>
      <c r="L813">
        <v>9.84</v>
      </c>
      <c r="M813">
        <v>0</v>
      </c>
      <c r="N813">
        <v>40.200000000000003</v>
      </c>
      <c r="O813">
        <v>0</v>
      </c>
      <c r="P813">
        <v>9.9000000000000005E-2</v>
      </c>
      <c r="Q813">
        <v>33.902999999999999</v>
      </c>
      <c r="R813">
        <v>66.096999999999994</v>
      </c>
      <c r="S813">
        <v>33.902999999999999</v>
      </c>
      <c r="T813">
        <v>431.11</v>
      </c>
      <c r="U813">
        <v>0.03</v>
      </c>
      <c r="W813">
        <v>0</v>
      </c>
      <c r="X813">
        <v>9.4</v>
      </c>
    </row>
    <row r="814" spans="1:24" x14ac:dyDescent="0.25">
      <c r="A814" t="s">
        <v>103</v>
      </c>
      <c r="B814" t="s">
        <v>41</v>
      </c>
      <c r="C814" t="s">
        <v>27</v>
      </c>
      <c r="D814">
        <v>2009</v>
      </c>
      <c r="E814">
        <v>94384256</v>
      </c>
      <c r="F814">
        <v>521163648845</v>
      </c>
      <c r="G814">
        <v>61.92</v>
      </c>
      <c r="H814">
        <v>61.92</v>
      </c>
      <c r="I814">
        <v>0</v>
      </c>
      <c r="J814">
        <v>0.06</v>
      </c>
      <c r="K814">
        <v>20.170000000000002</v>
      </c>
      <c r="L814">
        <v>9.7899999999999991</v>
      </c>
      <c r="M814">
        <v>0</v>
      </c>
      <c r="N814">
        <v>41.75</v>
      </c>
      <c r="O814">
        <v>0</v>
      </c>
      <c r="P814">
        <v>9.7000000000000003E-2</v>
      </c>
      <c r="Q814">
        <v>32.573999999999998</v>
      </c>
      <c r="R814">
        <v>67.426000000000002</v>
      </c>
      <c r="S814">
        <v>32.573999999999998</v>
      </c>
      <c r="T814">
        <v>441.38</v>
      </c>
      <c r="U814">
        <v>0.03</v>
      </c>
      <c r="W814">
        <v>0</v>
      </c>
      <c r="X814">
        <v>-2.2000000000000002</v>
      </c>
    </row>
    <row r="815" spans="1:24" x14ac:dyDescent="0.25">
      <c r="A815" t="s">
        <v>103</v>
      </c>
      <c r="B815" t="s">
        <v>41</v>
      </c>
      <c r="C815" t="s">
        <v>27</v>
      </c>
      <c r="D815">
        <v>2010</v>
      </c>
      <c r="E815">
        <v>96337127</v>
      </c>
      <c r="F815">
        <v>565514808274</v>
      </c>
      <c r="G815">
        <v>67.73</v>
      </c>
      <c r="H815">
        <v>67.73</v>
      </c>
      <c r="I815">
        <v>0</v>
      </c>
      <c r="J815">
        <v>0.06</v>
      </c>
      <c r="K815">
        <v>17.809999999999999</v>
      </c>
      <c r="L815">
        <v>7.8</v>
      </c>
      <c r="M815">
        <v>0</v>
      </c>
      <c r="N815">
        <v>49.92</v>
      </c>
      <c r="O815">
        <v>0</v>
      </c>
      <c r="P815">
        <v>8.8999999999999996E-2</v>
      </c>
      <c r="Q815">
        <v>26.295999999999999</v>
      </c>
      <c r="R815">
        <v>73.703999999999994</v>
      </c>
      <c r="S815">
        <v>26.295999999999999</v>
      </c>
      <c r="T815">
        <v>504.65</v>
      </c>
      <c r="U815">
        <v>0.03</v>
      </c>
      <c r="W815">
        <v>0</v>
      </c>
      <c r="X815">
        <v>-11.7</v>
      </c>
    </row>
    <row r="816" spans="1:24" x14ac:dyDescent="0.25">
      <c r="A816" t="s">
        <v>103</v>
      </c>
      <c r="B816" t="s">
        <v>41</v>
      </c>
      <c r="C816" t="s">
        <v>27</v>
      </c>
      <c r="D816">
        <v>2011</v>
      </c>
      <c r="E816">
        <v>98248614</v>
      </c>
      <c r="F816">
        <v>590943092007</v>
      </c>
      <c r="G816">
        <v>69.150000000000006</v>
      </c>
      <c r="H816">
        <v>69.150000000000006</v>
      </c>
      <c r="I816">
        <v>0</v>
      </c>
      <c r="J816">
        <v>0.09</v>
      </c>
      <c r="K816">
        <v>19.82</v>
      </c>
      <c r="L816">
        <v>9.6999999999999993</v>
      </c>
      <c r="M816">
        <v>0</v>
      </c>
      <c r="N816">
        <v>49.33</v>
      </c>
      <c r="O816">
        <v>0</v>
      </c>
      <c r="P816">
        <v>0.13</v>
      </c>
      <c r="Q816">
        <v>28.661999999999999</v>
      </c>
      <c r="R816">
        <v>71.337999999999994</v>
      </c>
      <c r="S816">
        <v>28.661999999999999</v>
      </c>
      <c r="T816">
        <v>492.99</v>
      </c>
      <c r="U816">
        <v>0.04</v>
      </c>
      <c r="W816">
        <v>50</v>
      </c>
      <c r="X816">
        <v>11.3</v>
      </c>
    </row>
    <row r="817" spans="1:25" x14ac:dyDescent="0.25">
      <c r="A817" t="s">
        <v>103</v>
      </c>
      <c r="B817" t="s">
        <v>41</v>
      </c>
      <c r="C817" t="s">
        <v>27</v>
      </c>
      <c r="D817">
        <v>2012</v>
      </c>
      <c r="E817">
        <v>100175511</v>
      </c>
      <c r="F817">
        <v>631700459807</v>
      </c>
      <c r="G817">
        <v>72.89</v>
      </c>
      <c r="H817">
        <v>72.89</v>
      </c>
      <c r="I817">
        <v>0</v>
      </c>
      <c r="J817">
        <v>0.08</v>
      </c>
      <c r="K817">
        <v>20.74</v>
      </c>
      <c r="L817">
        <v>10.25</v>
      </c>
      <c r="M817">
        <v>0</v>
      </c>
      <c r="N817">
        <v>52.15</v>
      </c>
      <c r="O817">
        <v>0</v>
      </c>
      <c r="P817">
        <v>0.11</v>
      </c>
      <c r="Q817">
        <v>28.454000000000001</v>
      </c>
      <c r="R817">
        <v>71.546000000000006</v>
      </c>
      <c r="S817">
        <v>28.454000000000001</v>
      </c>
      <c r="T817">
        <v>505.28</v>
      </c>
      <c r="U817">
        <v>0.04</v>
      </c>
      <c r="W817">
        <v>-11.1</v>
      </c>
      <c r="X817">
        <v>4.5999999999999996</v>
      </c>
    </row>
    <row r="818" spans="1:25" x14ac:dyDescent="0.25">
      <c r="A818" t="s">
        <v>103</v>
      </c>
      <c r="B818" t="s">
        <v>41</v>
      </c>
      <c r="C818" t="s">
        <v>27</v>
      </c>
      <c r="D818">
        <v>2013</v>
      </c>
      <c r="E818">
        <v>102076334</v>
      </c>
      <c r="F818">
        <v>674346563689</v>
      </c>
      <c r="G818">
        <v>75.23</v>
      </c>
      <c r="H818">
        <v>75.23</v>
      </c>
      <c r="I818">
        <v>0</v>
      </c>
      <c r="J818">
        <v>7.0000000000000007E-2</v>
      </c>
      <c r="K818">
        <v>19.87</v>
      </c>
      <c r="L818">
        <v>10.02</v>
      </c>
      <c r="M818">
        <v>0</v>
      </c>
      <c r="N818">
        <v>55.36</v>
      </c>
      <c r="O818">
        <v>0</v>
      </c>
      <c r="P818">
        <v>9.2999999999999999E-2</v>
      </c>
      <c r="Q818">
        <v>26.411999999999999</v>
      </c>
      <c r="R818">
        <v>73.587999999999994</v>
      </c>
      <c r="S818">
        <v>26.411999999999999</v>
      </c>
      <c r="T818">
        <v>529.98</v>
      </c>
      <c r="U818">
        <v>0.03</v>
      </c>
      <c r="W818">
        <v>-12.5</v>
      </c>
      <c r="X818">
        <v>-4.2</v>
      </c>
    </row>
    <row r="819" spans="1:25" x14ac:dyDescent="0.25">
      <c r="A819" t="s">
        <v>103</v>
      </c>
      <c r="B819" t="s">
        <v>41</v>
      </c>
      <c r="C819" t="s">
        <v>27</v>
      </c>
      <c r="D819">
        <v>2014</v>
      </c>
      <c r="E819">
        <v>103767127</v>
      </c>
      <c r="F819">
        <v>717154029846</v>
      </c>
      <c r="G819">
        <v>77.23</v>
      </c>
      <c r="H819">
        <v>77.23</v>
      </c>
      <c r="I819">
        <v>0.02</v>
      </c>
      <c r="J819">
        <v>0.15</v>
      </c>
      <c r="K819">
        <v>19.78</v>
      </c>
      <c r="L819">
        <v>9.14</v>
      </c>
      <c r="M819">
        <v>0</v>
      </c>
      <c r="N819">
        <v>57.45</v>
      </c>
      <c r="O819">
        <v>2.5999999999999999E-2</v>
      </c>
      <c r="P819">
        <v>0.19400000000000001</v>
      </c>
      <c r="Q819">
        <v>25.611999999999998</v>
      </c>
      <c r="R819">
        <v>74.388000000000005</v>
      </c>
      <c r="S819">
        <v>25.611999999999998</v>
      </c>
      <c r="T819">
        <v>536.84</v>
      </c>
      <c r="U819">
        <v>0.08</v>
      </c>
      <c r="W819">
        <v>114.3</v>
      </c>
      <c r="X819">
        <v>-0.5</v>
      </c>
    </row>
    <row r="820" spans="1:25" x14ac:dyDescent="0.25">
      <c r="A820" t="s">
        <v>103</v>
      </c>
      <c r="B820" t="s">
        <v>41</v>
      </c>
      <c r="C820" t="s">
        <v>27</v>
      </c>
      <c r="D820">
        <v>2015</v>
      </c>
      <c r="E820">
        <v>105312988</v>
      </c>
      <c r="F820">
        <v>762678999551</v>
      </c>
      <c r="G820">
        <v>82.4</v>
      </c>
      <c r="H820">
        <v>82.4</v>
      </c>
      <c r="I820">
        <v>0.14000000000000001</v>
      </c>
      <c r="J820">
        <v>0.75</v>
      </c>
      <c r="K820">
        <v>20.94</v>
      </c>
      <c r="L820">
        <v>8.66</v>
      </c>
      <c r="M820">
        <v>0</v>
      </c>
      <c r="N820">
        <v>61.46</v>
      </c>
      <c r="O820">
        <v>0.17</v>
      </c>
      <c r="P820">
        <v>0.91</v>
      </c>
      <c r="Q820">
        <v>25.413</v>
      </c>
      <c r="R820">
        <v>74.587000000000003</v>
      </c>
      <c r="S820">
        <v>25.413</v>
      </c>
      <c r="T820">
        <v>544.78</v>
      </c>
      <c r="U820">
        <v>0.4</v>
      </c>
      <c r="V820">
        <v>600</v>
      </c>
      <c r="W820">
        <v>400</v>
      </c>
      <c r="X820">
        <v>5.9</v>
      </c>
    </row>
    <row r="821" spans="1:25" x14ac:dyDescent="0.25">
      <c r="A821" t="s">
        <v>103</v>
      </c>
      <c r="B821" t="s">
        <v>41</v>
      </c>
      <c r="C821" t="s">
        <v>27</v>
      </c>
      <c r="D821">
        <v>2016</v>
      </c>
      <c r="E821">
        <v>106735721</v>
      </c>
      <c r="F821">
        <v>817202925336</v>
      </c>
      <c r="G821">
        <v>90.79</v>
      </c>
      <c r="H821">
        <v>90.79</v>
      </c>
      <c r="I821">
        <v>1.1000000000000001</v>
      </c>
      <c r="J821">
        <v>0.98</v>
      </c>
      <c r="K821">
        <v>21.98</v>
      </c>
      <c r="L821">
        <v>8.11</v>
      </c>
      <c r="M821">
        <v>0</v>
      </c>
      <c r="N821">
        <v>68.81</v>
      </c>
      <c r="O821">
        <v>1.212</v>
      </c>
      <c r="P821">
        <v>1.079</v>
      </c>
      <c r="Q821">
        <v>24.21</v>
      </c>
      <c r="R821">
        <v>75.790000000000006</v>
      </c>
      <c r="S821">
        <v>24.21</v>
      </c>
      <c r="T821">
        <v>560.19000000000005</v>
      </c>
      <c r="U821">
        <v>0.94</v>
      </c>
      <c r="V821">
        <v>685.7</v>
      </c>
      <c r="W821">
        <v>30.7</v>
      </c>
      <c r="X821">
        <v>5</v>
      </c>
    </row>
    <row r="822" spans="1:25" x14ac:dyDescent="0.25">
      <c r="A822" t="s">
        <v>103</v>
      </c>
      <c r="B822" t="s">
        <v>41</v>
      </c>
      <c r="C822" t="s">
        <v>27</v>
      </c>
      <c r="D822">
        <v>2017</v>
      </c>
      <c r="E822">
        <v>108119691</v>
      </c>
      <c r="F822">
        <v>873843247356</v>
      </c>
      <c r="G822">
        <v>94.36</v>
      </c>
      <c r="H822">
        <v>94.36</v>
      </c>
      <c r="I822">
        <v>1.2</v>
      </c>
      <c r="J822">
        <v>1.0900000000000001</v>
      </c>
      <c r="K822">
        <v>23.17</v>
      </c>
      <c r="L822">
        <v>9.61</v>
      </c>
      <c r="M822">
        <v>0</v>
      </c>
      <c r="N822">
        <v>71.19</v>
      </c>
      <c r="O822">
        <v>1.272</v>
      </c>
      <c r="P822">
        <v>1.155</v>
      </c>
      <c r="Q822">
        <v>24.555</v>
      </c>
      <c r="R822">
        <v>75.444999999999993</v>
      </c>
      <c r="S822">
        <v>24.555</v>
      </c>
      <c r="T822">
        <v>560.51</v>
      </c>
      <c r="U822">
        <v>1.03</v>
      </c>
      <c r="V822">
        <v>9.1</v>
      </c>
      <c r="W822">
        <v>11.2</v>
      </c>
      <c r="X822">
        <v>5.4</v>
      </c>
    </row>
    <row r="823" spans="1:25" x14ac:dyDescent="0.25">
      <c r="A823" t="s">
        <v>103</v>
      </c>
      <c r="B823" t="s">
        <v>41</v>
      </c>
      <c r="C823" t="s">
        <v>27</v>
      </c>
      <c r="D823">
        <v>2018</v>
      </c>
      <c r="E823">
        <v>109465284</v>
      </c>
      <c r="F823">
        <v>929253628653</v>
      </c>
      <c r="G823">
        <v>99.74</v>
      </c>
      <c r="H823">
        <v>99.74</v>
      </c>
      <c r="I823">
        <v>1.25</v>
      </c>
      <c r="J823">
        <v>1.1499999999999999</v>
      </c>
      <c r="K823">
        <v>23.31</v>
      </c>
      <c r="L823">
        <v>9.3800000000000008</v>
      </c>
      <c r="M823">
        <v>0</v>
      </c>
      <c r="N823">
        <v>76.430000000000007</v>
      </c>
      <c r="O823">
        <v>1.2529999999999999</v>
      </c>
      <c r="P823">
        <v>1.153</v>
      </c>
      <c r="Q823">
        <v>23.370999999999999</v>
      </c>
      <c r="R823">
        <v>76.629000000000005</v>
      </c>
      <c r="S823">
        <v>23.370999999999999</v>
      </c>
      <c r="T823">
        <v>572.39</v>
      </c>
      <c r="U823">
        <v>1.08</v>
      </c>
      <c r="V823">
        <v>4.2</v>
      </c>
      <c r="W823">
        <v>5.5</v>
      </c>
      <c r="X823">
        <v>0.6</v>
      </c>
    </row>
    <row r="824" spans="1:25" x14ac:dyDescent="0.25">
      <c r="A824" t="s">
        <v>103</v>
      </c>
      <c r="B824" t="s">
        <v>41</v>
      </c>
      <c r="C824" t="s">
        <v>27</v>
      </c>
      <c r="D824">
        <v>2019</v>
      </c>
      <c r="E824">
        <v>110804685</v>
      </c>
      <c r="F824">
        <v>986114678778</v>
      </c>
      <c r="G824">
        <v>106.03</v>
      </c>
      <c r="H824">
        <v>106.03</v>
      </c>
      <c r="I824">
        <v>1.25</v>
      </c>
      <c r="J824">
        <v>1.04</v>
      </c>
      <c r="K824">
        <v>22.04</v>
      </c>
      <c r="L824">
        <v>8.0299999999999994</v>
      </c>
      <c r="M824">
        <v>0</v>
      </c>
      <c r="N824">
        <v>83.99</v>
      </c>
      <c r="O824">
        <v>1.179</v>
      </c>
      <c r="P824">
        <v>0.98099999999999998</v>
      </c>
      <c r="Q824">
        <v>20.786999999999999</v>
      </c>
      <c r="R824">
        <v>79.212999999999994</v>
      </c>
      <c r="S824">
        <v>20.786999999999999</v>
      </c>
      <c r="T824">
        <v>592.66</v>
      </c>
      <c r="U824">
        <v>1.03</v>
      </c>
      <c r="V824">
        <v>0</v>
      </c>
      <c r="W824">
        <v>-9.6</v>
      </c>
      <c r="X824">
        <v>-5.4</v>
      </c>
    </row>
    <row r="825" spans="1:25" x14ac:dyDescent="0.25">
      <c r="A825" t="s">
        <v>103</v>
      </c>
      <c r="B825" t="s">
        <v>41</v>
      </c>
      <c r="C825" t="s">
        <v>27</v>
      </c>
      <c r="D825">
        <v>2020</v>
      </c>
      <c r="E825">
        <v>112081270</v>
      </c>
      <c r="F825">
        <v>892256290776</v>
      </c>
      <c r="G825">
        <v>101.75</v>
      </c>
      <c r="H825">
        <v>101.75</v>
      </c>
      <c r="I825">
        <v>1.37</v>
      </c>
      <c r="J825">
        <v>1.03</v>
      </c>
      <c r="K825">
        <v>21.6</v>
      </c>
      <c r="L825">
        <v>7.19</v>
      </c>
      <c r="M825">
        <v>0</v>
      </c>
      <c r="N825">
        <v>80.150000000000006</v>
      </c>
      <c r="O825">
        <v>1.3460000000000001</v>
      </c>
      <c r="P825">
        <v>1.012</v>
      </c>
      <c r="Q825">
        <v>21.228999999999999</v>
      </c>
      <c r="R825">
        <v>78.771000000000001</v>
      </c>
      <c r="S825">
        <v>21.228999999999999</v>
      </c>
      <c r="T825">
        <v>598.82000000000005</v>
      </c>
      <c r="U825">
        <v>1.08</v>
      </c>
      <c r="V825">
        <v>9.6</v>
      </c>
      <c r="W825">
        <v>-1</v>
      </c>
      <c r="X825">
        <v>-2</v>
      </c>
    </row>
    <row r="826" spans="1:25" x14ac:dyDescent="0.25">
      <c r="A826" t="s">
        <v>103</v>
      </c>
      <c r="B826" t="s">
        <v>41</v>
      </c>
      <c r="C826" t="s">
        <v>27</v>
      </c>
      <c r="D826">
        <v>2021</v>
      </c>
      <c r="E826">
        <v>113100947</v>
      </c>
      <c r="F826">
        <v>943141651518</v>
      </c>
      <c r="G826">
        <v>105.76</v>
      </c>
      <c r="H826">
        <v>105.76</v>
      </c>
      <c r="I826">
        <v>1.47</v>
      </c>
      <c r="J826">
        <v>1.28</v>
      </c>
      <c r="K826">
        <v>23.41</v>
      </c>
      <c r="L826">
        <v>9.19</v>
      </c>
      <c r="M826">
        <v>0</v>
      </c>
      <c r="N826">
        <v>82.35</v>
      </c>
      <c r="O826">
        <v>1.39</v>
      </c>
      <c r="P826">
        <v>1.21</v>
      </c>
      <c r="Q826">
        <v>22.135000000000002</v>
      </c>
      <c r="R826">
        <v>77.864999999999995</v>
      </c>
      <c r="S826">
        <v>22.135000000000002</v>
      </c>
      <c r="T826">
        <v>599.57000000000005</v>
      </c>
      <c r="U826">
        <v>1.24</v>
      </c>
      <c r="V826">
        <v>7.3</v>
      </c>
      <c r="W826">
        <v>24.3</v>
      </c>
      <c r="X826">
        <v>8.4</v>
      </c>
      <c r="Y826" t="s">
        <v>104</v>
      </c>
    </row>
    <row r="827" spans="1:25" x14ac:dyDescent="0.25">
      <c r="A827" t="s">
        <v>103</v>
      </c>
      <c r="B827" t="s">
        <v>41</v>
      </c>
      <c r="C827" t="s">
        <v>27</v>
      </c>
      <c r="D827">
        <v>2022</v>
      </c>
      <c r="E827">
        <v>113964343</v>
      </c>
      <c r="F827">
        <v>1014811024029</v>
      </c>
      <c r="G827">
        <v>111.55</v>
      </c>
      <c r="H827">
        <v>111.55</v>
      </c>
      <c r="I827">
        <v>1.82</v>
      </c>
      <c r="J827">
        <v>1.06</v>
      </c>
      <c r="K827">
        <v>24.72</v>
      </c>
      <c r="L827">
        <v>10.09</v>
      </c>
      <c r="M827">
        <v>0</v>
      </c>
      <c r="N827">
        <v>86.83</v>
      </c>
      <c r="O827">
        <v>1.6319999999999999</v>
      </c>
      <c r="P827">
        <v>0.95</v>
      </c>
      <c r="Q827">
        <v>22.16</v>
      </c>
      <c r="R827">
        <v>77.84</v>
      </c>
      <c r="S827">
        <v>22.16</v>
      </c>
      <c r="T827">
        <v>602.51</v>
      </c>
      <c r="U827">
        <v>1.3</v>
      </c>
      <c r="V827">
        <v>23.8</v>
      </c>
      <c r="W827">
        <v>-17.2</v>
      </c>
      <c r="X827">
        <v>5.6</v>
      </c>
    </row>
    <row r="828" spans="1:25" x14ac:dyDescent="0.25">
      <c r="A828" t="s">
        <v>103</v>
      </c>
      <c r="B828" t="s">
        <v>41</v>
      </c>
      <c r="C828" t="s">
        <v>27</v>
      </c>
      <c r="D828">
        <v>2023</v>
      </c>
      <c r="E828">
        <v>114891199</v>
      </c>
      <c r="G828">
        <v>116.73</v>
      </c>
      <c r="H828">
        <v>116.73</v>
      </c>
      <c r="I828">
        <v>1.82</v>
      </c>
      <c r="J828">
        <v>1.35</v>
      </c>
      <c r="K828">
        <v>25.01</v>
      </c>
      <c r="L828">
        <v>10.09</v>
      </c>
      <c r="M828">
        <v>0</v>
      </c>
      <c r="N828">
        <v>91.72</v>
      </c>
      <c r="O828">
        <v>1.5589999999999999</v>
      </c>
      <c r="P828">
        <v>1.157</v>
      </c>
      <c r="Q828">
        <v>21.425999999999998</v>
      </c>
      <c r="R828">
        <v>78.573999999999998</v>
      </c>
      <c r="S828">
        <v>21.425999999999998</v>
      </c>
      <c r="T828">
        <v>616.12</v>
      </c>
      <c r="U828">
        <v>1.43</v>
      </c>
      <c r="V828">
        <v>0</v>
      </c>
      <c r="W828">
        <v>27.4</v>
      </c>
      <c r="X828">
        <v>1.2</v>
      </c>
    </row>
    <row r="829" spans="1:25" x14ac:dyDescent="0.25">
      <c r="A829" t="s">
        <v>103</v>
      </c>
      <c r="B829" t="s">
        <v>41</v>
      </c>
      <c r="C829" t="s">
        <v>27</v>
      </c>
      <c r="D829">
        <v>2024</v>
      </c>
      <c r="E829">
        <v>115843663</v>
      </c>
      <c r="G829">
        <v>124.17</v>
      </c>
      <c r="H829">
        <v>124.17</v>
      </c>
      <c r="I829">
        <v>2.08</v>
      </c>
      <c r="J829">
        <v>1.5</v>
      </c>
      <c r="K829">
        <v>25.42</v>
      </c>
      <c r="L829">
        <v>10.09</v>
      </c>
      <c r="M829">
        <v>0</v>
      </c>
      <c r="N829">
        <v>98.75</v>
      </c>
      <c r="O829">
        <v>1.675</v>
      </c>
      <c r="P829">
        <v>1.208</v>
      </c>
      <c r="Q829">
        <v>20.472000000000001</v>
      </c>
      <c r="R829">
        <v>79.528000000000006</v>
      </c>
      <c r="S829">
        <v>20.472000000000001</v>
      </c>
      <c r="T829">
        <v>621.73</v>
      </c>
      <c r="U829">
        <v>1.61</v>
      </c>
      <c r="V829">
        <v>14.3</v>
      </c>
      <c r="W829">
        <v>11.1</v>
      </c>
      <c r="X829">
        <v>1.6</v>
      </c>
    </row>
    <row r="830" spans="1:25" x14ac:dyDescent="0.25">
      <c r="A830" t="s">
        <v>103</v>
      </c>
      <c r="B830" t="s">
        <v>41</v>
      </c>
      <c r="C830" t="s">
        <v>27</v>
      </c>
      <c r="D830">
        <v>2025</v>
      </c>
      <c r="E830">
        <v>116786960</v>
      </c>
      <c r="G830">
        <v>123.12</v>
      </c>
      <c r="H830">
        <v>123.12</v>
      </c>
      <c r="I830">
        <v>3</v>
      </c>
      <c r="J830">
        <v>1.46</v>
      </c>
      <c r="K830">
        <v>28.7</v>
      </c>
      <c r="L830">
        <v>12.7</v>
      </c>
      <c r="M830">
        <v>0</v>
      </c>
      <c r="N830">
        <v>94.42</v>
      </c>
      <c r="O830">
        <v>2.4369999999999998</v>
      </c>
      <c r="P830">
        <v>1.1859999999999999</v>
      </c>
      <c r="Q830">
        <v>23.311</v>
      </c>
      <c r="R830">
        <v>76.688999999999993</v>
      </c>
      <c r="S830">
        <v>23.311</v>
      </c>
      <c r="T830">
        <v>588.29</v>
      </c>
      <c r="U830">
        <v>2.0099999999999998</v>
      </c>
      <c r="V830">
        <v>44.2</v>
      </c>
      <c r="W830">
        <v>-2.7</v>
      </c>
      <c r="X830">
        <v>12.9</v>
      </c>
    </row>
    <row r="831" spans="1:25" x14ac:dyDescent="0.25">
      <c r="A831" t="s">
        <v>105</v>
      </c>
      <c r="B831" t="s">
        <v>38</v>
      </c>
      <c r="C831" t="s">
        <v>35</v>
      </c>
      <c r="D831">
        <v>2000</v>
      </c>
      <c r="E831">
        <v>38258077</v>
      </c>
      <c r="F831">
        <v>488207682001</v>
      </c>
      <c r="G831">
        <v>143.18</v>
      </c>
      <c r="H831">
        <v>136.81</v>
      </c>
      <c r="I831">
        <v>0</v>
      </c>
      <c r="J831">
        <v>0</v>
      </c>
      <c r="K831">
        <v>2.33</v>
      </c>
      <c r="L831">
        <v>2.11</v>
      </c>
      <c r="M831">
        <v>0</v>
      </c>
      <c r="N831">
        <v>140.85</v>
      </c>
      <c r="O831">
        <v>0</v>
      </c>
      <c r="P831">
        <v>0</v>
      </c>
      <c r="Q831">
        <v>1.627</v>
      </c>
      <c r="R831">
        <v>98.373000000000005</v>
      </c>
      <c r="S831">
        <v>1.627</v>
      </c>
      <c r="T831">
        <v>954.6</v>
      </c>
      <c r="U831">
        <v>0</v>
      </c>
    </row>
    <row r="832" spans="1:25" x14ac:dyDescent="0.25">
      <c r="A832" t="s">
        <v>105</v>
      </c>
      <c r="B832" t="s">
        <v>38</v>
      </c>
      <c r="C832" t="s">
        <v>35</v>
      </c>
      <c r="D832">
        <v>2001</v>
      </c>
      <c r="E832">
        <v>38247359</v>
      </c>
      <c r="F832">
        <v>499086644170</v>
      </c>
      <c r="G832">
        <v>143.72</v>
      </c>
      <c r="H832">
        <v>136.99</v>
      </c>
      <c r="I832">
        <v>0</v>
      </c>
      <c r="J832">
        <v>0.01</v>
      </c>
      <c r="K832">
        <v>2.78</v>
      </c>
      <c r="L832">
        <v>2.33</v>
      </c>
      <c r="M832">
        <v>0</v>
      </c>
      <c r="N832">
        <v>140.94</v>
      </c>
      <c r="O832">
        <v>0</v>
      </c>
      <c r="P832">
        <v>7.0000000000000001E-3</v>
      </c>
      <c r="Q832">
        <v>1.9339999999999999</v>
      </c>
      <c r="R832">
        <v>98.066000000000003</v>
      </c>
      <c r="S832">
        <v>1.9339999999999999</v>
      </c>
      <c r="T832">
        <v>949.56</v>
      </c>
      <c r="U832">
        <v>0</v>
      </c>
      <c r="X832">
        <v>19.3</v>
      </c>
    </row>
    <row r="833" spans="1:24" x14ac:dyDescent="0.25">
      <c r="A833" t="s">
        <v>105</v>
      </c>
      <c r="B833" t="s">
        <v>38</v>
      </c>
      <c r="C833" t="s">
        <v>35</v>
      </c>
      <c r="D833">
        <v>2002</v>
      </c>
      <c r="E833">
        <v>38229407</v>
      </c>
      <c r="F833">
        <v>514089670231</v>
      </c>
      <c r="G833">
        <v>142.49</v>
      </c>
      <c r="H833">
        <v>135.41999999999999</v>
      </c>
      <c r="I833">
        <v>0</v>
      </c>
      <c r="J833">
        <v>0.06</v>
      </c>
      <c r="K833">
        <v>2.77</v>
      </c>
      <c r="L833">
        <v>2.2799999999999998</v>
      </c>
      <c r="M833">
        <v>0</v>
      </c>
      <c r="N833">
        <v>139.72</v>
      </c>
      <c r="O833">
        <v>0</v>
      </c>
      <c r="P833">
        <v>4.2000000000000003E-2</v>
      </c>
      <c r="Q833">
        <v>1.944</v>
      </c>
      <c r="R833">
        <v>98.055999999999997</v>
      </c>
      <c r="S833">
        <v>1.944</v>
      </c>
      <c r="T833">
        <v>945.61</v>
      </c>
      <c r="U833">
        <v>0.03</v>
      </c>
      <c r="W833">
        <v>500</v>
      </c>
      <c r="X833">
        <v>-0.4</v>
      </c>
    </row>
    <row r="834" spans="1:24" x14ac:dyDescent="0.25">
      <c r="A834" t="s">
        <v>105</v>
      </c>
      <c r="B834" t="s">
        <v>38</v>
      </c>
      <c r="C834" t="s">
        <v>35</v>
      </c>
      <c r="D834">
        <v>2003</v>
      </c>
      <c r="E834">
        <v>38203527</v>
      </c>
      <c r="F834">
        <v>537330337680</v>
      </c>
      <c r="G834">
        <v>150.01</v>
      </c>
      <c r="H834">
        <v>139.85</v>
      </c>
      <c r="I834">
        <v>0</v>
      </c>
      <c r="J834">
        <v>0.12</v>
      </c>
      <c r="K834">
        <v>2.25</v>
      </c>
      <c r="L834">
        <v>1.67</v>
      </c>
      <c r="M834">
        <v>0</v>
      </c>
      <c r="N834">
        <v>147.76</v>
      </c>
      <c r="O834">
        <v>0</v>
      </c>
      <c r="P834">
        <v>0.08</v>
      </c>
      <c r="Q834">
        <v>1.5</v>
      </c>
      <c r="R834">
        <v>98.5</v>
      </c>
      <c r="S834">
        <v>1.5</v>
      </c>
      <c r="T834">
        <v>949.8</v>
      </c>
      <c r="U834">
        <v>0.05</v>
      </c>
      <c r="W834">
        <v>100</v>
      </c>
      <c r="X834">
        <v>-18.8</v>
      </c>
    </row>
    <row r="835" spans="1:24" x14ac:dyDescent="0.25">
      <c r="A835" t="s">
        <v>105</v>
      </c>
      <c r="B835" t="s">
        <v>38</v>
      </c>
      <c r="C835" t="s">
        <v>35</v>
      </c>
      <c r="D835">
        <v>2004</v>
      </c>
      <c r="E835">
        <v>38167568</v>
      </c>
      <c r="F835">
        <v>570430122148</v>
      </c>
      <c r="G835">
        <v>152.54</v>
      </c>
      <c r="H835">
        <v>143.25</v>
      </c>
      <c r="I835">
        <v>0</v>
      </c>
      <c r="J835">
        <v>0.14000000000000001</v>
      </c>
      <c r="K835">
        <v>3.2</v>
      </c>
      <c r="L835">
        <v>2.08</v>
      </c>
      <c r="M835">
        <v>0</v>
      </c>
      <c r="N835">
        <v>149.34</v>
      </c>
      <c r="O835">
        <v>0</v>
      </c>
      <c r="P835">
        <v>9.1999999999999998E-2</v>
      </c>
      <c r="Q835">
        <v>2.0979999999999999</v>
      </c>
      <c r="R835">
        <v>97.902000000000001</v>
      </c>
      <c r="S835">
        <v>2.0979999999999999</v>
      </c>
      <c r="T835">
        <v>941.26</v>
      </c>
      <c r="U835">
        <v>0.06</v>
      </c>
      <c r="W835">
        <v>16.7</v>
      </c>
      <c r="X835">
        <v>42.2</v>
      </c>
    </row>
    <row r="836" spans="1:24" x14ac:dyDescent="0.25">
      <c r="A836" t="s">
        <v>105</v>
      </c>
      <c r="B836" t="s">
        <v>38</v>
      </c>
      <c r="C836" t="s">
        <v>35</v>
      </c>
      <c r="D836">
        <v>2005</v>
      </c>
      <c r="E836">
        <v>38124377</v>
      </c>
      <c r="F836">
        <v>595958527688</v>
      </c>
      <c r="G836">
        <v>155.29</v>
      </c>
      <c r="H836">
        <v>144.1</v>
      </c>
      <c r="I836">
        <v>0</v>
      </c>
      <c r="J836">
        <v>0.14000000000000001</v>
      </c>
      <c r="K836">
        <v>3.85</v>
      </c>
      <c r="L836">
        <v>2.2000000000000002</v>
      </c>
      <c r="M836">
        <v>0</v>
      </c>
      <c r="N836">
        <v>151.44</v>
      </c>
      <c r="O836">
        <v>0</v>
      </c>
      <c r="P836">
        <v>0.09</v>
      </c>
      <c r="Q836">
        <v>2.4790000000000001</v>
      </c>
      <c r="R836">
        <v>97.521000000000001</v>
      </c>
      <c r="S836">
        <v>2.4790000000000001</v>
      </c>
      <c r="T836">
        <v>932.26</v>
      </c>
      <c r="U836">
        <v>0.06</v>
      </c>
      <c r="W836">
        <v>0</v>
      </c>
      <c r="X836">
        <v>20.3</v>
      </c>
    </row>
    <row r="837" spans="1:24" x14ac:dyDescent="0.25">
      <c r="A837" t="s">
        <v>105</v>
      </c>
      <c r="B837" t="s">
        <v>38</v>
      </c>
      <c r="C837" t="s">
        <v>35</v>
      </c>
      <c r="D837">
        <v>2006</v>
      </c>
      <c r="E837">
        <v>38071169</v>
      </c>
      <c r="F837">
        <v>638713864539</v>
      </c>
      <c r="G837">
        <v>160.69999999999999</v>
      </c>
      <c r="H837">
        <v>149.71</v>
      </c>
      <c r="I837">
        <v>0</v>
      </c>
      <c r="J837">
        <v>0.26</v>
      </c>
      <c r="K837">
        <v>4.29</v>
      </c>
      <c r="L837">
        <v>2.04</v>
      </c>
      <c r="M837">
        <v>0</v>
      </c>
      <c r="N837">
        <v>156.41</v>
      </c>
      <c r="O837">
        <v>0</v>
      </c>
      <c r="P837">
        <v>0.16200000000000001</v>
      </c>
      <c r="Q837">
        <v>2.67</v>
      </c>
      <c r="R837">
        <v>97.33</v>
      </c>
      <c r="S837">
        <v>2.67</v>
      </c>
      <c r="T837">
        <v>931.92</v>
      </c>
      <c r="U837">
        <v>0.12</v>
      </c>
      <c r="W837">
        <v>85.7</v>
      </c>
      <c r="X837">
        <v>11.4</v>
      </c>
    </row>
    <row r="838" spans="1:24" x14ac:dyDescent="0.25">
      <c r="A838" t="s">
        <v>105</v>
      </c>
      <c r="B838" t="s">
        <v>38</v>
      </c>
      <c r="C838" t="s">
        <v>35</v>
      </c>
      <c r="D838">
        <v>2007</v>
      </c>
      <c r="E838">
        <v>38020420</v>
      </c>
      <c r="F838">
        <v>690249985288</v>
      </c>
      <c r="G838">
        <v>158.52000000000001</v>
      </c>
      <c r="H838">
        <v>153.16999999999999</v>
      </c>
      <c r="I838">
        <v>0</v>
      </c>
      <c r="J838">
        <v>0.52</v>
      </c>
      <c r="K838">
        <v>5.43</v>
      </c>
      <c r="L838">
        <v>2.35</v>
      </c>
      <c r="M838">
        <v>0</v>
      </c>
      <c r="N838">
        <v>153.09</v>
      </c>
      <c r="O838">
        <v>0</v>
      </c>
      <c r="P838">
        <v>0.32800000000000001</v>
      </c>
      <c r="Q838">
        <v>3.4249999999999998</v>
      </c>
      <c r="R838">
        <v>96.575000000000003</v>
      </c>
      <c r="S838">
        <v>3.4249999999999998</v>
      </c>
      <c r="T838">
        <v>925.44</v>
      </c>
      <c r="U838">
        <v>0.23</v>
      </c>
      <c r="W838">
        <v>100</v>
      </c>
      <c r="X838">
        <v>26.6</v>
      </c>
    </row>
    <row r="839" spans="1:24" x14ac:dyDescent="0.25">
      <c r="A839" t="s">
        <v>105</v>
      </c>
      <c r="B839" t="s">
        <v>38</v>
      </c>
      <c r="C839" t="s">
        <v>35</v>
      </c>
      <c r="D839">
        <v>2008</v>
      </c>
      <c r="E839">
        <v>37995902</v>
      </c>
      <c r="F839">
        <v>726319216200</v>
      </c>
      <c r="G839">
        <v>154.5</v>
      </c>
      <c r="H839">
        <v>153.83000000000001</v>
      </c>
      <c r="I839">
        <v>0</v>
      </c>
      <c r="J839">
        <v>0.84</v>
      </c>
      <c r="K839">
        <v>6.61</v>
      </c>
      <c r="L839">
        <v>2.15</v>
      </c>
      <c r="M839">
        <v>0</v>
      </c>
      <c r="N839">
        <v>147.88999999999999</v>
      </c>
      <c r="O839">
        <v>0</v>
      </c>
      <c r="P839">
        <v>0.54400000000000004</v>
      </c>
      <c r="Q839">
        <v>4.2779999999999996</v>
      </c>
      <c r="R839">
        <v>95.721999999999994</v>
      </c>
      <c r="S839">
        <v>4.2779999999999996</v>
      </c>
      <c r="T839">
        <v>918.51</v>
      </c>
      <c r="U839">
        <v>0.38</v>
      </c>
      <c r="W839">
        <v>61.5</v>
      </c>
      <c r="X839">
        <v>21.7</v>
      </c>
    </row>
    <row r="840" spans="1:24" x14ac:dyDescent="0.25">
      <c r="A840" t="s">
        <v>105</v>
      </c>
      <c r="B840" t="s">
        <v>38</v>
      </c>
      <c r="C840" t="s">
        <v>35</v>
      </c>
      <c r="D840">
        <v>2009</v>
      </c>
      <c r="E840">
        <v>38002153</v>
      </c>
      <c r="F840">
        <v>760579624624</v>
      </c>
      <c r="G840">
        <v>150.86000000000001</v>
      </c>
      <c r="H840">
        <v>148.66999999999999</v>
      </c>
      <c r="I840">
        <v>0</v>
      </c>
      <c r="J840">
        <v>1.08</v>
      </c>
      <c r="K840">
        <v>8.69</v>
      </c>
      <c r="L840">
        <v>2.38</v>
      </c>
      <c r="M840">
        <v>0</v>
      </c>
      <c r="N840">
        <v>142.16999999999999</v>
      </c>
      <c r="O840">
        <v>0</v>
      </c>
      <c r="P840">
        <v>0.71599999999999997</v>
      </c>
      <c r="Q840">
        <v>5.76</v>
      </c>
      <c r="R840">
        <v>94.24</v>
      </c>
      <c r="S840">
        <v>5.76</v>
      </c>
      <c r="T840">
        <v>904.81</v>
      </c>
      <c r="U840">
        <v>0.49</v>
      </c>
      <c r="W840">
        <v>28.6</v>
      </c>
      <c r="X840">
        <v>31.5</v>
      </c>
    </row>
    <row r="841" spans="1:24" x14ac:dyDescent="0.25">
      <c r="A841" t="s">
        <v>105</v>
      </c>
      <c r="B841" t="s">
        <v>38</v>
      </c>
      <c r="C841" t="s">
        <v>35</v>
      </c>
      <c r="D841">
        <v>2010</v>
      </c>
      <c r="E841">
        <v>38095356</v>
      </c>
      <c r="F841">
        <v>795619859853</v>
      </c>
      <c r="G841">
        <v>156.77000000000001</v>
      </c>
      <c r="H841">
        <v>155.41999999999999</v>
      </c>
      <c r="I841">
        <v>0</v>
      </c>
      <c r="J841">
        <v>1.66</v>
      </c>
      <c r="K841">
        <v>10.88</v>
      </c>
      <c r="L841">
        <v>2.92</v>
      </c>
      <c r="M841">
        <v>0</v>
      </c>
      <c r="N841">
        <v>145.88999999999999</v>
      </c>
      <c r="O841">
        <v>0</v>
      </c>
      <c r="P841">
        <v>1.0589999999999999</v>
      </c>
      <c r="Q841">
        <v>6.94</v>
      </c>
      <c r="R841">
        <v>93.06</v>
      </c>
      <c r="S841">
        <v>6.94</v>
      </c>
      <c r="T841">
        <v>893.03</v>
      </c>
      <c r="U841">
        <v>0.75</v>
      </c>
      <c r="W841">
        <v>53.7</v>
      </c>
      <c r="X841">
        <v>25.2</v>
      </c>
    </row>
    <row r="842" spans="1:24" x14ac:dyDescent="0.25">
      <c r="A842" t="s">
        <v>105</v>
      </c>
      <c r="B842" t="s">
        <v>38</v>
      </c>
      <c r="C842" t="s">
        <v>35</v>
      </c>
      <c r="D842">
        <v>2011</v>
      </c>
      <c r="E842">
        <v>38208644</v>
      </c>
      <c r="F842">
        <v>843236863910</v>
      </c>
      <c r="G842">
        <v>162.87</v>
      </c>
      <c r="H842">
        <v>157.63</v>
      </c>
      <c r="I842">
        <v>0</v>
      </c>
      <c r="J842">
        <v>3.2</v>
      </c>
      <c r="K842">
        <v>13.13</v>
      </c>
      <c r="L842">
        <v>2.33</v>
      </c>
      <c r="M842">
        <v>0</v>
      </c>
      <c r="N842">
        <v>149.74</v>
      </c>
      <c r="O842">
        <v>0</v>
      </c>
      <c r="P842">
        <v>1.9650000000000001</v>
      </c>
      <c r="Q842">
        <v>8.0619999999999994</v>
      </c>
      <c r="R842">
        <v>91.938000000000002</v>
      </c>
      <c r="S842">
        <v>8.0619999999999994</v>
      </c>
      <c r="T842">
        <v>881.69</v>
      </c>
      <c r="U842">
        <v>1.44</v>
      </c>
      <c r="W842">
        <v>92.8</v>
      </c>
      <c r="X842">
        <v>20.7</v>
      </c>
    </row>
    <row r="843" spans="1:24" x14ac:dyDescent="0.25">
      <c r="A843" t="s">
        <v>105</v>
      </c>
      <c r="B843" t="s">
        <v>38</v>
      </c>
      <c r="C843" t="s">
        <v>35</v>
      </c>
      <c r="D843">
        <v>2012</v>
      </c>
      <c r="E843">
        <v>38247867</v>
      </c>
      <c r="F843">
        <v>856266755052</v>
      </c>
      <c r="G843">
        <v>161.47999999999999</v>
      </c>
      <c r="H843">
        <v>158.63999999999999</v>
      </c>
      <c r="I843">
        <v>0</v>
      </c>
      <c r="J843">
        <v>4.75</v>
      </c>
      <c r="K843">
        <v>16.88</v>
      </c>
      <c r="L843">
        <v>2.04</v>
      </c>
      <c r="M843">
        <v>0</v>
      </c>
      <c r="N843">
        <v>144.6</v>
      </c>
      <c r="O843">
        <v>0</v>
      </c>
      <c r="P843">
        <v>2.9420000000000002</v>
      </c>
      <c r="Q843">
        <v>10.452999999999999</v>
      </c>
      <c r="R843">
        <v>89.546999999999997</v>
      </c>
      <c r="S843">
        <v>10.452999999999999</v>
      </c>
      <c r="T843">
        <v>860.79</v>
      </c>
      <c r="U843">
        <v>2.14</v>
      </c>
      <c r="W843">
        <v>48.4</v>
      </c>
      <c r="X843">
        <v>28.6</v>
      </c>
    </row>
    <row r="844" spans="1:24" x14ac:dyDescent="0.25">
      <c r="A844" t="s">
        <v>105</v>
      </c>
      <c r="B844" t="s">
        <v>38</v>
      </c>
      <c r="C844" t="s">
        <v>35</v>
      </c>
      <c r="D844">
        <v>2013</v>
      </c>
      <c r="E844">
        <v>38259267</v>
      </c>
      <c r="F844">
        <v>863601156195</v>
      </c>
      <c r="G844">
        <v>163.78</v>
      </c>
      <c r="H844">
        <v>159.26</v>
      </c>
      <c r="I844">
        <v>0</v>
      </c>
      <c r="J844">
        <v>6</v>
      </c>
      <c r="K844">
        <v>17.059999999999999</v>
      </c>
      <c r="L844">
        <v>2.44</v>
      </c>
      <c r="M844">
        <v>0</v>
      </c>
      <c r="N844">
        <v>146.72</v>
      </c>
      <c r="O844">
        <v>0</v>
      </c>
      <c r="P844">
        <v>3.6629999999999998</v>
      </c>
      <c r="Q844">
        <v>10.416</v>
      </c>
      <c r="R844">
        <v>89.584000000000003</v>
      </c>
      <c r="S844">
        <v>10.416</v>
      </c>
      <c r="T844">
        <v>863.23</v>
      </c>
      <c r="U844">
        <v>2.7</v>
      </c>
      <c r="W844">
        <v>26.3</v>
      </c>
      <c r="X844">
        <v>1.1000000000000001</v>
      </c>
    </row>
    <row r="845" spans="1:24" x14ac:dyDescent="0.25">
      <c r="A845" t="s">
        <v>105</v>
      </c>
      <c r="B845" t="s">
        <v>38</v>
      </c>
      <c r="C845" t="s">
        <v>35</v>
      </c>
      <c r="D845">
        <v>2014</v>
      </c>
      <c r="E845">
        <v>38265113</v>
      </c>
      <c r="F845">
        <v>896737189458</v>
      </c>
      <c r="G845">
        <v>158.35</v>
      </c>
      <c r="H845">
        <v>160.52000000000001</v>
      </c>
      <c r="I845">
        <v>0.01</v>
      </c>
      <c r="J845">
        <v>7.68</v>
      </c>
      <c r="K845">
        <v>19.850000000000001</v>
      </c>
      <c r="L845">
        <v>2.1800000000000002</v>
      </c>
      <c r="M845">
        <v>0</v>
      </c>
      <c r="N845">
        <v>138.5</v>
      </c>
      <c r="O845">
        <v>6.0000000000000001E-3</v>
      </c>
      <c r="P845">
        <v>4.8499999999999996</v>
      </c>
      <c r="Q845">
        <v>12.536</v>
      </c>
      <c r="R845">
        <v>87.463999999999999</v>
      </c>
      <c r="S845">
        <v>12.536</v>
      </c>
      <c r="T845">
        <v>844.08</v>
      </c>
      <c r="U845">
        <v>3.46</v>
      </c>
      <c r="W845">
        <v>28</v>
      </c>
      <c r="X845">
        <v>16.399999999999999</v>
      </c>
    </row>
    <row r="846" spans="1:24" x14ac:dyDescent="0.25">
      <c r="A846" t="s">
        <v>105</v>
      </c>
      <c r="B846" t="s">
        <v>38</v>
      </c>
      <c r="C846" t="s">
        <v>35</v>
      </c>
      <c r="D846">
        <v>2015</v>
      </c>
      <c r="E846">
        <v>38266314</v>
      </c>
      <c r="F846">
        <v>936043804062</v>
      </c>
      <c r="G846">
        <v>164.3</v>
      </c>
      <c r="H846">
        <v>163.97</v>
      </c>
      <c r="I846">
        <v>0.06</v>
      </c>
      <c r="J846">
        <v>10.86</v>
      </c>
      <c r="K846">
        <v>22.69</v>
      </c>
      <c r="L846">
        <v>1.83</v>
      </c>
      <c r="M846">
        <v>0</v>
      </c>
      <c r="N846">
        <v>141.61000000000001</v>
      </c>
      <c r="O846">
        <v>3.6999999999999998E-2</v>
      </c>
      <c r="P846">
        <v>6.61</v>
      </c>
      <c r="Q846">
        <v>13.81</v>
      </c>
      <c r="R846">
        <v>86.19</v>
      </c>
      <c r="S846">
        <v>13.81</v>
      </c>
      <c r="T846">
        <v>826.11</v>
      </c>
      <c r="U846">
        <v>4.91</v>
      </c>
      <c r="V846">
        <v>500</v>
      </c>
      <c r="W846">
        <v>41.4</v>
      </c>
      <c r="X846">
        <v>14.3</v>
      </c>
    </row>
    <row r="847" spans="1:24" x14ac:dyDescent="0.25">
      <c r="A847" t="s">
        <v>105</v>
      </c>
      <c r="B847" t="s">
        <v>38</v>
      </c>
      <c r="C847" t="s">
        <v>35</v>
      </c>
      <c r="D847">
        <v>2016</v>
      </c>
      <c r="E847">
        <v>38263260</v>
      </c>
      <c r="F847">
        <v>963689941627</v>
      </c>
      <c r="G847">
        <v>166</v>
      </c>
      <c r="H847">
        <v>168</v>
      </c>
      <c r="I847">
        <v>0.12</v>
      </c>
      <c r="J847">
        <v>12.59</v>
      </c>
      <c r="K847">
        <v>22.81</v>
      </c>
      <c r="L847">
        <v>2.14</v>
      </c>
      <c r="M847">
        <v>0</v>
      </c>
      <c r="N847">
        <v>143.19</v>
      </c>
      <c r="O847">
        <v>7.1999999999999995E-2</v>
      </c>
      <c r="P847">
        <v>7.5839999999999996</v>
      </c>
      <c r="Q847">
        <v>13.741</v>
      </c>
      <c r="R847">
        <v>86.259</v>
      </c>
      <c r="S847">
        <v>13.741</v>
      </c>
      <c r="T847">
        <v>818.55</v>
      </c>
      <c r="U847">
        <v>5.72</v>
      </c>
      <c r="V847">
        <v>100</v>
      </c>
      <c r="W847">
        <v>15.9</v>
      </c>
      <c r="X847">
        <v>0.5</v>
      </c>
    </row>
    <row r="848" spans="1:24" x14ac:dyDescent="0.25">
      <c r="A848" t="s">
        <v>105</v>
      </c>
      <c r="B848" t="s">
        <v>38</v>
      </c>
      <c r="C848" t="s">
        <v>35</v>
      </c>
      <c r="D848">
        <v>2017</v>
      </c>
      <c r="E848">
        <v>38254964</v>
      </c>
      <c r="F848">
        <v>1013223736654</v>
      </c>
      <c r="G848">
        <v>169.91</v>
      </c>
      <c r="H848">
        <v>172.2</v>
      </c>
      <c r="I848">
        <v>0.17</v>
      </c>
      <c r="J848">
        <v>14.91</v>
      </c>
      <c r="K848">
        <v>24.13</v>
      </c>
      <c r="L848">
        <v>2.56</v>
      </c>
      <c r="M848">
        <v>0</v>
      </c>
      <c r="N848">
        <v>145.78</v>
      </c>
      <c r="O848">
        <v>0.1</v>
      </c>
      <c r="P848">
        <v>8.7750000000000004</v>
      </c>
      <c r="Q848">
        <v>14.202</v>
      </c>
      <c r="R848">
        <v>85.798000000000002</v>
      </c>
      <c r="S848">
        <v>14.202</v>
      </c>
      <c r="T848">
        <v>805.54</v>
      </c>
      <c r="U848">
        <v>6.79</v>
      </c>
      <c r="V848">
        <v>41.7</v>
      </c>
      <c r="W848">
        <v>18.399999999999999</v>
      </c>
      <c r="X848">
        <v>5.8</v>
      </c>
    </row>
    <row r="849" spans="1:25" x14ac:dyDescent="0.25">
      <c r="A849" t="s">
        <v>105</v>
      </c>
      <c r="B849" t="s">
        <v>38</v>
      </c>
      <c r="C849" t="s">
        <v>35</v>
      </c>
      <c r="D849">
        <v>2018</v>
      </c>
      <c r="E849">
        <v>38241070</v>
      </c>
      <c r="F849">
        <v>1073462064151</v>
      </c>
      <c r="G849">
        <v>169.43</v>
      </c>
      <c r="H849">
        <v>175.12</v>
      </c>
      <c r="I849">
        <v>0.3</v>
      </c>
      <c r="J849">
        <v>12.8</v>
      </c>
      <c r="K849">
        <v>21.62</v>
      </c>
      <c r="L849">
        <v>1.97</v>
      </c>
      <c r="M849">
        <v>0</v>
      </c>
      <c r="N849">
        <v>147.81</v>
      </c>
      <c r="O849">
        <v>0.17699999999999999</v>
      </c>
      <c r="P849">
        <v>7.5549999999999997</v>
      </c>
      <c r="Q849">
        <v>12.76</v>
      </c>
      <c r="R849">
        <v>87.24</v>
      </c>
      <c r="S849">
        <v>12.76</v>
      </c>
      <c r="T849">
        <v>809.01</v>
      </c>
      <c r="U849">
        <v>5.9</v>
      </c>
      <c r="V849">
        <v>76.5</v>
      </c>
      <c r="W849">
        <v>-14.2</v>
      </c>
      <c r="X849">
        <v>-10.4</v>
      </c>
    </row>
    <row r="850" spans="1:25" x14ac:dyDescent="0.25">
      <c r="A850" t="s">
        <v>105</v>
      </c>
      <c r="B850" t="s">
        <v>38</v>
      </c>
      <c r="C850" t="s">
        <v>35</v>
      </c>
      <c r="D850">
        <v>2019</v>
      </c>
      <c r="E850">
        <v>38225884</v>
      </c>
      <c r="F850">
        <v>1121231497071</v>
      </c>
      <c r="G850">
        <v>163.22</v>
      </c>
      <c r="H850">
        <v>173.84</v>
      </c>
      <c r="I850">
        <v>0.71</v>
      </c>
      <c r="J850">
        <v>15.11</v>
      </c>
      <c r="K850">
        <v>25.46</v>
      </c>
      <c r="L850">
        <v>1.96</v>
      </c>
      <c r="M850">
        <v>0</v>
      </c>
      <c r="N850">
        <v>137.76</v>
      </c>
      <c r="O850">
        <v>0.435</v>
      </c>
      <c r="P850">
        <v>9.2569999999999997</v>
      </c>
      <c r="Q850">
        <v>15.599</v>
      </c>
      <c r="R850">
        <v>84.400999999999996</v>
      </c>
      <c r="S850">
        <v>15.599</v>
      </c>
      <c r="T850">
        <v>771.66</v>
      </c>
      <c r="U850">
        <v>7.12</v>
      </c>
      <c r="V850">
        <v>136.69999999999999</v>
      </c>
      <c r="W850">
        <v>18</v>
      </c>
      <c r="X850">
        <v>17.8</v>
      </c>
    </row>
    <row r="851" spans="1:25" x14ac:dyDescent="0.25">
      <c r="A851" t="s">
        <v>105</v>
      </c>
      <c r="B851" t="s">
        <v>38</v>
      </c>
      <c r="C851" t="s">
        <v>35</v>
      </c>
      <c r="D851">
        <v>2020</v>
      </c>
      <c r="E851">
        <v>38171005</v>
      </c>
      <c r="F851">
        <v>1098581305284</v>
      </c>
      <c r="G851">
        <v>157.15</v>
      </c>
      <c r="H851">
        <v>170.42</v>
      </c>
      <c r="I851">
        <v>1.96</v>
      </c>
      <c r="J851">
        <v>15.8</v>
      </c>
      <c r="K851">
        <v>28.23</v>
      </c>
      <c r="L851">
        <v>2.12</v>
      </c>
      <c r="M851">
        <v>0</v>
      </c>
      <c r="N851">
        <v>128.91999999999999</v>
      </c>
      <c r="O851">
        <v>1.2470000000000001</v>
      </c>
      <c r="P851">
        <v>10.054</v>
      </c>
      <c r="Q851">
        <v>17.963999999999999</v>
      </c>
      <c r="R851">
        <v>82.036000000000001</v>
      </c>
      <c r="S851">
        <v>17.963999999999999</v>
      </c>
      <c r="T851">
        <v>738.28</v>
      </c>
      <c r="U851">
        <v>7.99</v>
      </c>
      <c r="V851">
        <v>176.1</v>
      </c>
      <c r="W851">
        <v>4.5999999999999996</v>
      </c>
      <c r="X851">
        <v>10.9</v>
      </c>
    </row>
    <row r="852" spans="1:25" x14ac:dyDescent="0.25">
      <c r="A852" t="s">
        <v>105</v>
      </c>
      <c r="B852" t="s">
        <v>38</v>
      </c>
      <c r="C852" t="s">
        <v>35</v>
      </c>
      <c r="D852">
        <v>2021</v>
      </c>
      <c r="E852">
        <v>38040303</v>
      </c>
      <c r="F852">
        <v>1173809548862</v>
      </c>
      <c r="G852">
        <v>178.79</v>
      </c>
      <c r="H852">
        <v>179.68</v>
      </c>
      <c r="I852">
        <v>3.93</v>
      </c>
      <c r="J852">
        <v>16.23</v>
      </c>
      <c r="K852">
        <v>30.56</v>
      </c>
      <c r="L852">
        <v>2.34</v>
      </c>
      <c r="M852">
        <v>0</v>
      </c>
      <c r="N852">
        <v>148.22999999999999</v>
      </c>
      <c r="O852">
        <v>2.198</v>
      </c>
      <c r="P852">
        <v>9.0779999999999994</v>
      </c>
      <c r="Q852">
        <v>17.093</v>
      </c>
      <c r="R852">
        <v>82.906999999999996</v>
      </c>
      <c r="S852">
        <v>17.093</v>
      </c>
      <c r="T852">
        <v>756.36</v>
      </c>
      <c r="U852">
        <v>9.07</v>
      </c>
      <c r="V852">
        <v>100.5</v>
      </c>
      <c r="W852">
        <v>2.7</v>
      </c>
      <c r="X852">
        <v>8.3000000000000007</v>
      </c>
      <c r="Y852" t="s">
        <v>106</v>
      </c>
    </row>
    <row r="853" spans="1:25" x14ac:dyDescent="0.25">
      <c r="A853" t="s">
        <v>105</v>
      </c>
      <c r="B853" t="s">
        <v>38</v>
      </c>
      <c r="C853" t="s">
        <v>35</v>
      </c>
      <c r="D853">
        <v>2022</v>
      </c>
      <c r="E853">
        <v>38385734</v>
      </c>
      <c r="F853">
        <v>1231021338216</v>
      </c>
      <c r="G853">
        <v>178.6</v>
      </c>
      <c r="H853">
        <v>176.92</v>
      </c>
      <c r="I853">
        <v>8.31</v>
      </c>
      <c r="J853">
        <v>19.78</v>
      </c>
      <c r="K853">
        <v>37.69</v>
      </c>
      <c r="L853">
        <v>1.97</v>
      </c>
      <c r="M853">
        <v>0</v>
      </c>
      <c r="N853">
        <v>140.91</v>
      </c>
      <c r="O853">
        <v>4.6529999999999996</v>
      </c>
      <c r="P853">
        <v>11.074999999999999</v>
      </c>
      <c r="Q853">
        <v>21.103000000000002</v>
      </c>
      <c r="R853">
        <v>78.897000000000006</v>
      </c>
      <c r="S853">
        <v>21.103000000000002</v>
      </c>
      <c r="T853">
        <v>732.48</v>
      </c>
      <c r="U853">
        <v>12.64</v>
      </c>
      <c r="V853">
        <v>111.5</v>
      </c>
      <c r="W853">
        <v>21.9</v>
      </c>
      <c r="X853">
        <v>23.3</v>
      </c>
    </row>
    <row r="854" spans="1:25" x14ac:dyDescent="0.25">
      <c r="A854" t="s">
        <v>105</v>
      </c>
      <c r="B854" t="s">
        <v>38</v>
      </c>
      <c r="C854" t="s">
        <v>35</v>
      </c>
      <c r="D854">
        <v>2023</v>
      </c>
      <c r="E854">
        <v>38762847</v>
      </c>
      <c r="G854">
        <v>165.52</v>
      </c>
      <c r="H854">
        <v>169.26</v>
      </c>
      <c r="I854">
        <v>11.11</v>
      </c>
      <c r="J854">
        <v>24.18</v>
      </c>
      <c r="K854">
        <v>45.86</v>
      </c>
      <c r="L854">
        <v>2.41</v>
      </c>
      <c r="M854">
        <v>0</v>
      </c>
      <c r="N854">
        <v>119.66</v>
      </c>
      <c r="O854">
        <v>6.7119999999999997</v>
      </c>
      <c r="P854">
        <v>14.609</v>
      </c>
      <c r="Q854">
        <v>27.707000000000001</v>
      </c>
      <c r="R854">
        <v>72.293000000000006</v>
      </c>
      <c r="S854">
        <v>27.707000000000001</v>
      </c>
      <c r="T854">
        <v>650.67999999999995</v>
      </c>
      <c r="U854">
        <v>15.88</v>
      </c>
      <c r="V854">
        <v>33.700000000000003</v>
      </c>
      <c r="W854">
        <v>22.2</v>
      </c>
      <c r="X854">
        <v>21.7</v>
      </c>
    </row>
    <row r="855" spans="1:25" x14ac:dyDescent="0.25">
      <c r="A855" t="s">
        <v>105</v>
      </c>
      <c r="B855" t="s">
        <v>38</v>
      </c>
      <c r="C855" t="s">
        <v>35</v>
      </c>
      <c r="D855">
        <v>2024</v>
      </c>
      <c r="E855">
        <v>38539209</v>
      </c>
      <c r="G855">
        <v>172.12</v>
      </c>
      <c r="H855">
        <v>174.09</v>
      </c>
      <c r="I855">
        <v>17.66</v>
      </c>
      <c r="J855">
        <v>25.89</v>
      </c>
      <c r="K855">
        <v>53.61</v>
      </c>
      <c r="L855">
        <v>2.11</v>
      </c>
      <c r="M855">
        <v>0</v>
      </c>
      <c r="N855">
        <v>118.51</v>
      </c>
      <c r="O855">
        <v>10.26</v>
      </c>
      <c r="P855">
        <v>15.042</v>
      </c>
      <c r="Q855">
        <v>31.146999999999998</v>
      </c>
      <c r="R855">
        <v>68.852999999999994</v>
      </c>
      <c r="S855">
        <v>31.146999999999998</v>
      </c>
      <c r="T855">
        <v>608.17999999999995</v>
      </c>
      <c r="U855">
        <v>19.600000000000001</v>
      </c>
      <c r="V855">
        <v>59</v>
      </c>
      <c r="W855">
        <v>7.1</v>
      </c>
      <c r="X855">
        <v>16.899999999999999</v>
      </c>
    </row>
    <row r="856" spans="1:25" x14ac:dyDescent="0.25">
      <c r="A856" t="s">
        <v>105</v>
      </c>
      <c r="B856" t="s">
        <v>38</v>
      </c>
      <c r="C856" t="s">
        <v>35</v>
      </c>
      <c r="D856">
        <v>2025</v>
      </c>
      <c r="E856">
        <v>38140913</v>
      </c>
      <c r="G856">
        <v>173.26</v>
      </c>
      <c r="H856">
        <v>174.31</v>
      </c>
      <c r="I856">
        <v>19.55</v>
      </c>
      <c r="J856">
        <v>24.62</v>
      </c>
      <c r="K856">
        <v>54.59</v>
      </c>
      <c r="L856">
        <v>1.7</v>
      </c>
      <c r="M856">
        <v>0</v>
      </c>
      <c r="N856">
        <v>118.67</v>
      </c>
      <c r="O856">
        <v>11.284000000000001</v>
      </c>
      <c r="P856">
        <v>14.21</v>
      </c>
      <c r="Q856">
        <v>31.507999999999999</v>
      </c>
      <c r="R856">
        <v>68.492000000000004</v>
      </c>
      <c r="S856">
        <v>31.507999999999999</v>
      </c>
      <c r="T856">
        <v>588.6</v>
      </c>
      <c r="U856">
        <v>19.88</v>
      </c>
      <c r="V856">
        <v>10.7</v>
      </c>
      <c r="W856">
        <v>-4.9000000000000004</v>
      </c>
      <c r="X856">
        <v>1.8</v>
      </c>
    </row>
    <row r="857" spans="1:25" x14ac:dyDescent="0.25">
      <c r="A857" t="s">
        <v>107</v>
      </c>
      <c r="B857" t="s">
        <v>38</v>
      </c>
      <c r="C857" t="s">
        <v>35</v>
      </c>
      <c r="D857">
        <v>2000</v>
      </c>
      <c r="E857">
        <v>22046264</v>
      </c>
      <c r="F857">
        <v>157839292272</v>
      </c>
      <c r="G857">
        <v>51.56</v>
      </c>
      <c r="H857">
        <v>50.86</v>
      </c>
      <c r="I857">
        <v>0</v>
      </c>
      <c r="K857">
        <v>14.78</v>
      </c>
      <c r="L857">
        <v>14.78</v>
      </c>
      <c r="M857">
        <v>5.46</v>
      </c>
      <c r="N857">
        <v>31.32</v>
      </c>
      <c r="O857">
        <v>0</v>
      </c>
      <c r="Q857">
        <v>28.666</v>
      </c>
      <c r="R857">
        <v>60.744999999999997</v>
      </c>
      <c r="S857">
        <v>39.255000000000003</v>
      </c>
      <c r="T857">
        <v>513.77</v>
      </c>
      <c r="U857">
        <v>0</v>
      </c>
    </row>
    <row r="858" spans="1:25" x14ac:dyDescent="0.25">
      <c r="A858" t="s">
        <v>107</v>
      </c>
      <c r="B858" t="s">
        <v>38</v>
      </c>
      <c r="C858" t="s">
        <v>35</v>
      </c>
      <c r="D858">
        <v>2001</v>
      </c>
      <c r="E858">
        <v>21919916</v>
      </c>
      <c r="F858">
        <v>173763436827</v>
      </c>
      <c r="G858">
        <v>53.55</v>
      </c>
      <c r="H858">
        <v>52.24</v>
      </c>
      <c r="I858">
        <v>0</v>
      </c>
      <c r="K858">
        <v>14.92</v>
      </c>
      <c r="L858">
        <v>14.92</v>
      </c>
      <c r="M858">
        <v>5.45</v>
      </c>
      <c r="N858">
        <v>33.18</v>
      </c>
      <c r="O858">
        <v>0</v>
      </c>
      <c r="Q858">
        <v>27.861999999999998</v>
      </c>
      <c r="R858">
        <v>61.960999999999999</v>
      </c>
      <c r="S858">
        <v>38.039000000000001</v>
      </c>
      <c r="T858">
        <v>524.55999999999995</v>
      </c>
      <c r="U858">
        <v>0</v>
      </c>
      <c r="X858">
        <v>0.9</v>
      </c>
    </row>
    <row r="859" spans="1:25" x14ac:dyDescent="0.25">
      <c r="A859" t="s">
        <v>107</v>
      </c>
      <c r="B859" t="s">
        <v>38</v>
      </c>
      <c r="C859" t="s">
        <v>35</v>
      </c>
      <c r="D859">
        <v>2002</v>
      </c>
      <c r="E859">
        <v>21770020</v>
      </c>
      <c r="F859">
        <v>190219311781</v>
      </c>
      <c r="G859">
        <v>54.42</v>
      </c>
      <c r="H859">
        <v>51.57</v>
      </c>
      <c r="I859">
        <v>0</v>
      </c>
      <c r="K859">
        <v>16.05</v>
      </c>
      <c r="L859">
        <v>16.05</v>
      </c>
      <c r="M859">
        <v>5.51</v>
      </c>
      <c r="N859">
        <v>32.86</v>
      </c>
      <c r="O859">
        <v>0</v>
      </c>
      <c r="Q859">
        <v>29.492999999999999</v>
      </c>
      <c r="R859">
        <v>60.381999999999998</v>
      </c>
      <c r="S859">
        <v>39.618000000000002</v>
      </c>
      <c r="T859">
        <v>515.07000000000005</v>
      </c>
      <c r="U859">
        <v>0</v>
      </c>
      <c r="X859">
        <v>7.6</v>
      </c>
    </row>
    <row r="860" spans="1:25" x14ac:dyDescent="0.25">
      <c r="A860" t="s">
        <v>107</v>
      </c>
      <c r="B860" t="s">
        <v>38</v>
      </c>
      <c r="C860" t="s">
        <v>35</v>
      </c>
      <c r="D860">
        <v>2003</v>
      </c>
      <c r="E860">
        <v>21593448</v>
      </c>
      <c r="F860">
        <v>204513401651</v>
      </c>
      <c r="G860">
        <v>54.84</v>
      </c>
      <c r="H860">
        <v>52.76</v>
      </c>
      <c r="I860">
        <v>0</v>
      </c>
      <c r="K860">
        <v>13.26</v>
      </c>
      <c r="L860">
        <v>13.26</v>
      </c>
      <c r="M860">
        <v>4.91</v>
      </c>
      <c r="N860">
        <v>36.67</v>
      </c>
      <c r="O860">
        <v>0</v>
      </c>
      <c r="Q860">
        <v>24.178999999999998</v>
      </c>
      <c r="R860">
        <v>66.867000000000004</v>
      </c>
      <c r="S860">
        <v>33.133000000000003</v>
      </c>
      <c r="T860">
        <v>573.85</v>
      </c>
      <c r="U860">
        <v>0</v>
      </c>
      <c r="X860">
        <v>-17.399999999999999</v>
      </c>
    </row>
    <row r="861" spans="1:25" x14ac:dyDescent="0.25">
      <c r="A861" t="s">
        <v>107</v>
      </c>
      <c r="B861" t="s">
        <v>38</v>
      </c>
      <c r="C861" t="s">
        <v>35</v>
      </c>
      <c r="D861">
        <v>2004</v>
      </c>
      <c r="E861">
        <v>21403215</v>
      </c>
      <c r="F861">
        <v>228570981481</v>
      </c>
      <c r="G861">
        <v>56.47</v>
      </c>
      <c r="H861">
        <v>55.29</v>
      </c>
      <c r="I861">
        <v>0</v>
      </c>
      <c r="K861">
        <v>16.510000000000002</v>
      </c>
      <c r="L861">
        <v>16.510000000000002</v>
      </c>
      <c r="M861">
        <v>5.55</v>
      </c>
      <c r="N861">
        <v>34.409999999999997</v>
      </c>
      <c r="O861">
        <v>0</v>
      </c>
      <c r="Q861">
        <v>29.236999999999998</v>
      </c>
      <c r="R861">
        <v>60.935000000000002</v>
      </c>
      <c r="S861">
        <v>39.064999999999998</v>
      </c>
      <c r="T861">
        <v>518.15</v>
      </c>
      <c r="U861">
        <v>0</v>
      </c>
      <c r="X861">
        <v>24.5</v>
      </c>
    </row>
    <row r="862" spans="1:25" x14ac:dyDescent="0.25">
      <c r="A862" t="s">
        <v>107</v>
      </c>
      <c r="B862" t="s">
        <v>38</v>
      </c>
      <c r="C862" t="s">
        <v>35</v>
      </c>
      <c r="D862">
        <v>2005</v>
      </c>
      <c r="E862">
        <v>21213395</v>
      </c>
      <c r="F862">
        <v>244044803180</v>
      </c>
      <c r="G862">
        <v>59.33</v>
      </c>
      <c r="H862">
        <v>56.43</v>
      </c>
      <c r="I862">
        <v>0</v>
      </c>
      <c r="J862">
        <v>0</v>
      </c>
      <c r="K862">
        <v>20.22</v>
      </c>
      <c r="L862">
        <v>20.21</v>
      </c>
      <c r="M862">
        <v>5.55</v>
      </c>
      <c r="N862">
        <v>33.56</v>
      </c>
      <c r="O862">
        <v>0</v>
      </c>
      <c r="P862">
        <v>0</v>
      </c>
      <c r="Q862">
        <v>34.081000000000003</v>
      </c>
      <c r="R862">
        <v>56.564999999999998</v>
      </c>
      <c r="S862">
        <v>43.435000000000002</v>
      </c>
      <c r="T862">
        <v>489.97</v>
      </c>
      <c r="U862">
        <v>0</v>
      </c>
      <c r="X862">
        <v>22.5</v>
      </c>
    </row>
    <row r="863" spans="1:25" x14ac:dyDescent="0.25">
      <c r="A863" t="s">
        <v>107</v>
      </c>
      <c r="B863" t="s">
        <v>38</v>
      </c>
      <c r="C863" t="s">
        <v>35</v>
      </c>
      <c r="D863">
        <v>2006</v>
      </c>
      <c r="E863">
        <v>21035732</v>
      </c>
      <c r="F863">
        <v>274969703969</v>
      </c>
      <c r="G863">
        <v>62.56</v>
      </c>
      <c r="H863">
        <v>58.29</v>
      </c>
      <c r="I863">
        <v>0</v>
      </c>
      <c r="J863">
        <v>0</v>
      </c>
      <c r="K863">
        <v>18.36</v>
      </c>
      <c r="L863">
        <v>18.36</v>
      </c>
      <c r="M863">
        <v>5.63</v>
      </c>
      <c r="N863">
        <v>38.57</v>
      </c>
      <c r="O863">
        <v>0</v>
      </c>
      <c r="P863">
        <v>0</v>
      </c>
      <c r="Q863">
        <v>29.347999999999999</v>
      </c>
      <c r="R863">
        <v>61.652999999999999</v>
      </c>
      <c r="S863">
        <v>38.347000000000001</v>
      </c>
      <c r="T863">
        <v>530.37</v>
      </c>
      <c r="U863">
        <v>0</v>
      </c>
      <c r="X863">
        <v>-9.1999999999999993</v>
      </c>
    </row>
    <row r="864" spans="1:25" x14ac:dyDescent="0.25">
      <c r="A864" t="s">
        <v>107</v>
      </c>
      <c r="B864" t="s">
        <v>38</v>
      </c>
      <c r="C864" t="s">
        <v>35</v>
      </c>
      <c r="D864">
        <v>2007</v>
      </c>
      <c r="E864">
        <v>20870714</v>
      </c>
      <c r="F864">
        <v>304650701380</v>
      </c>
      <c r="G864">
        <v>61.56</v>
      </c>
      <c r="H864">
        <v>59.47</v>
      </c>
      <c r="I864">
        <v>0</v>
      </c>
      <c r="J864">
        <v>0</v>
      </c>
      <c r="K864">
        <v>16.010000000000002</v>
      </c>
      <c r="L864">
        <v>15.97</v>
      </c>
      <c r="M864">
        <v>7.71</v>
      </c>
      <c r="N864">
        <v>37.840000000000003</v>
      </c>
      <c r="O864">
        <v>0</v>
      </c>
      <c r="P864">
        <v>0</v>
      </c>
      <c r="Q864">
        <v>26.007000000000001</v>
      </c>
      <c r="R864">
        <v>61.468000000000004</v>
      </c>
      <c r="S864">
        <v>38.531999999999996</v>
      </c>
      <c r="T864">
        <v>529.73</v>
      </c>
      <c r="U864">
        <v>0</v>
      </c>
      <c r="X864">
        <v>-12.8</v>
      </c>
    </row>
    <row r="865" spans="1:25" x14ac:dyDescent="0.25">
      <c r="A865" t="s">
        <v>107</v>
      </c>
      <c r="B865" t="s">
        <v>38</v>
      </c>
      <c r="C865" t="s">
        <v>35</v>
      </c>
      <c r="D865">
        <v>2008</v>
      </c>
      <c r="E865">
        <v>20718745</v>
      </c>
      <c r="F865">
        <v>339689310169</v>
      </c>
      <c r="G865">
        <v>64.86</v>
      </c>
      <c r="H865">
        <v>60.61</v>
      </c>
      <c r="I865">
        <v>0</v>
      </c>
      <c r="J865">
        <v>0</v>
      </c>
      <c r="K865">
        <v>17.22</v>
      </c>
      <c r="L865">
        <v>17.2</v>
      </c>
      <c r="M865">
        <v>11.23</v>
      </c>
      <c r="N865">
        <v>36.409999999999997</v>
      </c>
      <c r="O865">
        <v>0</v>
      </c>
      <c r="P865">
        <v>0</v>
      </c>
      <c r="Q865">
        <v>26.548999999999999</v>
      </c>
      <c r="R865">
        <v>56.136000000000003</v>
      </c>
      <c r="S865">
        <v>43.863999999999997</v>
      </c>
      <c r="T865">
        <v>497.53</v>
      </c>
      <c r="U865">
        <v>0</v>
      </c>
      <c r="X865">
        <v>7.6</v>
      </c>
    </row>
    <row r="866" spans="1:25" x14ac:dyDescent="0.25">
      <c r="A866" t="s">
        <v>107</v>
      </c>
      <c r="B866" t="s">
        <v>38</v>
      </c>
      <c r="C866" t="s">
        <v>35</v>
      </c>
      <c r="D866">
        <v>2009</v>
      </c>
      <c r="E866">
        <v>20576922</v>
      </c>
      <c r="F866">
        <v>326954238767</v>
      </c>
      <c r="G866">
        <v>57.59</v>
      </c>
      <c r="H866">
        <v>55.29</v>
      </c>
      <c r="I866">
        <v>0</v>
      </c>
      <c r="J866">
        <v>0.01</v>
      </c>
      <c r="K866">
        <v>15.55</v>
      </c>
      <c r="L866">
        <v>15.53</v>
      </c>
      <c r="M866">
        <v>11.75</v>
      </c>
      <c r="N866">
        <v>30.29</v>
      </c>
      <c r="O866">
        <v>0</v>
      </c>
      <c r="P866">
        <v>1.7000000000000001E-2</v>
      </c>
      <c r="Q866">
        <v>27.001000000000001</v>
      </c>
      <c r="R866">
        <v>52.595999999999997</v>
      </c>
      <c r="S866">
        <v>47.404000000000003</v>
      </c>
      <c r="T866">
        <v>469.7</v>
      </c>
      <c r="U866">
        <v>0</v>
      </c>
      <c r="X866">
        <v>-9.6999999999999993</v>
      </c>
    </row>
    <row r="867" spans="1:25" x14ac:dyDescent="0.25">
      <c r="A867" t="s">
        <v>107</v>
      </c>
      <c r="B867" t="s">
        <v>38</v>
      </c>
      <c r="C867" t="s">
        <v>35</v>
      </c>
      <c r="D867">
        <v>2010</v>
      </c>
      <c r="E867">
        <v>20432575</v>
      </c>
      <c r="F867">
        <v>335489566640</v>
      </c>
      <c r="G867">
        <v>60.42</v>
      </c>
      <c r="H867">
        <v>58.15</v>
      </c>
      <c r="I867">
        <v>0</v>
      </c>
      <c r="J867">
        <v>0.31</v>
      </c>
      <c r="K867">
        <v>20.3</v>
      </c>
      <c r="L867">
        <v>19.88</v>
      </c>
      <c r="M867">
        <v>11.62</v>
      </c>
      <c r="N867">
        <v>28.5</v>
      </c>
      <c r="O867">
        <v>0</v>
      </c>
      <c r="P867">
        <v>0.51300000000000001</v>
      </c>
      <c r="Q867">
        <v>33.597999999999999</v>
      </c>
      <c r="R867">
        <v>47.17</v>
      </c>
      <c r="S867">
        <v>52.83</v>
      </c>
      <c r="T867">
        <v>424.53</v>
      </c>
      <c r="U867">
        <v>0.14000000000000001</v>
      </c>
      <c r="W867">
        <v>3000</v>
      </c>
      <c r="X867">
        <v>30.5</v>
      </c>
    </row>
    <row r="868" spans="1:25" x14ac:dyDescent="0.25">
      <c r="A868" t="s">
        <v>107</v>
      </c>
      <c r="B868" t="s">
        <v>38</v>
      </c>
      <c r="C868" t="s">
        <v>35</v>
      </c>
      <c r="D868">
        <v>2011</v>
      </c>
      <c r="E868">
        <v>20282009</v>
      </c>
      <c r="F868">
        <v>350086824382</v>
      </c>
      <c r="G868">
        <v>61.8</v>
      </c>
      <c r="H868">
        <v>59.89</v>
      </c>
      <c r="I868">
        <v>0</v>
      </c>
      <c r="J868">
        <v>1.39</v>
      </c>
      <c r="K868">
        <v>16.32</v>
      </c>
      <c r="L868">
        <v>14.73</v>
      </c>
      <c r="M868">
        <v>11.75</v>
      </c>
      <c r="N868">
        <v>33.729999999999997</v>
      </c>
      <c r="O868">
        <v>0</v>
      </c>
      <c r="P868">
        <v>2.2490000000000001</v>
      </c>
      <c r="Q868">
        <v>26.408000000000001</v>
      </c>
      <c r="R868">
        <v>54.579000000000001</v>
      </c>
      <c r="S868">
        <v>45.420999999999999</v>
      </c>
      <c r="T868">
        <v>490.62</v>
      </c>
      <c r="U868">
        <v>0.63</v>
      </c>
      <c r="W868">
        <v>348.4</v>
      </c>
      <c r="X868">
        <v>-19.600000000000001</v>
      </c>
    </row>
    <row r="869" spans="1:25" x14ac:dyDescent="0.25">
      <c r="A869" t="s">
        <v>107</v>
      </c>
      <c r="B869" t="s">
        <v>38</v>
      </c>
      <c r="C869" t="s">
        <v>35</v>
      </c>
      <c r="D869">
        <v>2012</v>
      </c>
      <c r="E869">
        <v>20158451</v>
      </c>
      <c r="F869">
        <v>356825919340</v>
      </c>
      <c r="G869">
        <v>58.54</v>
      </c>
      <c r="H869">
        <v>58.79</v>
      </c>
      <c r="I869">
        <v>0.01</v>
      </c>
      <c r="J869">
        <v>2.64</v>
      </c>
      <c r="K869">
        <v>14.93</v>
      </c>
      <c r="L869">
        <v>12.07</v>
      </c>
      <c r="M869">
        <v>11.47</v>
      </c>
      <c r="N869">
        <v>32.14</v>
      </c>
      <c r="O869">
        <v>1.7000000000000001E-2</v>
      </c>
      <c r="P869">
        <v>4.51</v>
      </c>
      <c r="Q869">
        <v>25.504000000000001</v>
      </c>
      <c r="R869">
        <v>54.902999999999999</v>
      </c>
      <c r="S869">
        <v>45.097000000000001</v>
      </c>
      <c r="T869">
        <v>486.85</v>
      </c>
      <c r="U869">
        <v>1.19</v>
      </c>
      <c r="W869">
        <v>89.9</v>
      </c>
      <c r="X869">
        <v>-8.5</v>
      </c>
    </row>
    <row r="870" spans="1:25" x14ac:dyDescent="0.25">
      <c r="A870" t="s">
        <v>107</v>
      </c>
      <c r="B870" t="s">
        <v>38</v>
      </c>
      <c r="C870" t="s">
        <v>35</v>
      </c>
      <c r="D870">
        <v>2013</v>
      </c>
      <c r="E870">
        <v>20062913</v>
      </c>
      <c r="F870">
        <v>357789262640</v>
      </c>
      <c r="G870">
        <v>58.19</v>
      </c>
      <c r="H870">
        <v>56.17</v>
      </c>
      <c r="I870">
        <v>0.42</v>
      </c>
      <c r="J870">
        <v>4.5199999999999996</v>
      </c>
      <c r="K870">
        <v>20.149999999999999</v>
      </c>
      <c r="L870">
        <v>14.96</v>
      </c>
      <c r="M870">
        <v>11.62</v>
      </c>
      <c r="N870">
        <v>26.42</v>
      </c>
      <c r="O870">
        <v>0.72199999999999998</v>
      </c>
      <c r="P870">
        <v>7.7679999999999998</v>
      </c>
      <c r="Q870">
        <v>34.628</v>
      </c>
      <c r="R870">
        <v>45.402999999999999</v>
      </c>
      <c r="S870">
        <v>54.597000000000001</v>
      </c>
      <c r="T870">
        <v>389.76</v>
      </c>
      <c r="U870">
        <v>2.2200000000000002</v>
      </c>
      <c r="V870">
        <v>4100</v>
      </c>
      <c r="W870">
        <v>71.2</v>
      </c>
      <c r="X870">
        <v>35</v>
      </c>
    </row>
    <row r="871" spans="1:25" x14ac:dyDescent="0.25">
      <c r="A871" t="s">
        <v>107</v>
      </c>
      <c r="B871" t="s">
        <v>38</v>
      </c>
      <c r="C871" t="s">
        <v>35</v>
      </c>
      <c r="D871">
        <v>2014</v>
      </c>
      <c r="E871">
        <v>19968179</v>
      </c>
      <c r="F871">
        <v>372532510801</v>
      </c>
      <c r="G871">
        <v>64.92</v>
      </c>
      <c r="H871">
        <v>57.79</v>
      </c>
      <c r="I871">
        <v>1.62</v>
      </c>
      <c r="J871">
        <v>6.2</v>
      </c>
      <c r="K871">
        <v>27.12</v>
      </c>
      <c r="L871">
        <v>18.8</v>
      </c>
      <c r="M871">
        <v>11.68</v>
      </c>
      <c r="N871">
        <v>26.12</v>
      </c>
      <c r="O871">
        <v>2.4950000000000001</v>
      </c>
      <c r="P871">
        <v>9.5500000000000007</v>
      </c>
      <c r="Q871">
        <v>41.774000000000001</v>
      </c>
      <c r="R871">
        <v>40.234000000000002</v>
      </c>
      <c r="S871">
        <v>59.765999999999998</v>
      </c>
      <c r="T871">
        <v>357.06</v>
      </c>
      <c r="U871">
        <v>3.52</v>
      </c>
      <c r="V871">
        <v>285.7</v>
      </c>
      <c r="W871">
        <v>37.200000000000003</v>
      </c>
      <c r="X871">
        <v>34.6</v>
      </c>
    </row>
    <row r="872" spans="1:25" x14ac:dyDescent="0.25">
      <c r="A872" t="s">
        <v>107</v>
      </c>
      <c r="B872" t="s">
        <v>38</v>
      </c>
      <c r="C872" t="s">
        <v>35</v>
      </c>
      <c r="D872">
        <v>2015</v>
      </c>
      <c r="E872">
        <v>19871018</v>
      </c>
      <c r="F872">
        <v>384306463712</v>
      </c>
      <c r="G872">
        <v>65.66</v>
      </c>
      <c r="H872">
        <v>58.93</v>
      </c>
      <c r="I872">
        <v>1.98</v>
      </c>
      <c r="J872">
        <v>7.06</v>
      </c>
      <c r="K872">
        <v>26.19</v>
      </c>
      <c r="L872">
        <v>16.63</v>
      </c>
      <c r="M872">
        <v>11.64</v>
      </c>
      <c r="N872">
        <v>27.83</v>
      </c>
      <c r="O872">
        <v>3.016</v>
      </c>
      <c r="P872">
        <v>10.752000000000001</v>
      </c>
      <c r="Q872">
        <v>39.887</v>
      </c>
      <c r="R872">
        <v>42.384999999999998</v>
      </c>
      <c r="S872">
        <v>57.615000000000002</v>
      </c>
      <c r="T872">
        <v>369.02</v>
      </c>
      <c r="U872">
        <v>4.07</v>
      </c>
      <c r="V872">
        <v>22.2</v>
      </c>
      <c r="W872">
        <v>13.9</v>
      </c>
      <c r="X872">
        <v>-3.4</v>
      </c>
    </row>
    <row r="873" spans="1:25" x14ac:dyDescent="0.25">
      <c r="A873" t="s">
        <v>107</v>
      </c>
      <c r="B873" t="s">
        <v>38</v>
      </c>
      <c r="C873" t="s">
        <v>35</v>
      </c>
      <c r="D873">
        <v>2016</v>
      </c>
      <c r="E873">
        <v>19777049</v>
      </c>
      <c r="F873">
        <v>395288226514</v>
      </c>
      <c r="G873">
        <v>64.22</v>
      </c>
      <c r="H873">
        <v>59.2</v>
      </c>
      <c r="I873">
        <v>1.82</v>
      </c>
      <c r="J873">
        <v>6.59</v>
      </c>
      <c r="K873">
        <v>26.97</v>
      </c>
      <c r="L873">
        <v>18.03</v>
      </c>
      <c r="M873">
        <v>11.29</v>
      </c>
      <c r="N873">
        <v>25.96</v>
      </c>
      <c r="O873">
        <v>2.8340000000000001</v>
      </c>
      <c r="P873">
        <v>10.262</v>
      </c>
      <c r="Q873">
        <v>41.996000000000002</v>
      </c>
      <c r="R873">
        <v>40.423999999999999</v>
      </c>
      <c r="S873">
        <v>59.576000000000001</v>
      </c>
      <c r="T873">
        <v>345.38</v>
      </c>
      <c r="U873">
        <v>3.78</v>
      </c>
      <c r="V873">
        <v>-8.1</v>
      </c>
      <c r="W873">
        <v>-6.7</v>
      </c>
      <c r="X873">
        <v>3</v>
      </c>
    </row>
    <row r="874" spans="1:25" x14ac:dyDescent="0.25">
      <c r="A874" t="s">
        <v>107</v>
      </c>
      <c r="B874" t="s">
        <v>38</v>
      </c>
      <c r="C874" t="s">
        <v>35</v>
      </c>
      <c r="D874">
        <v>2017</v>
      </c>
      <c r="E874">
        <v>19689405</v>
      </c>
      <c r="F874">
        <v>456012361225</v>
      </c>
      <c r="G874">
        <v>63.54</v>
      </c>
      <c r="H874">
        <v>60.65</v>
      </c>
      <c r="I874">
        <v>1.86</v>
      </c>
      <c r="J874">
        <v>7.41</v>
      </c>
      <c r="K874">
        <v>24.29</v>
      </c>
      <c r="L874">
        <v>14.49</v>
      </c>
      <c r="M874">
        <v>11.51</v>
      </c>
      <c r="N874">
        <v>27.74</v>
      </c>
      <c r="O874">
        <v>2.927</v>
      </c>
      <c r="P874">
        <v>11.662000000000001</v>
      </c>
      <c r="Q874">
        <v>38.228000000000002</v>
      </c>
      <c r="R874">
        <v>43.658000000000001</v>
      </c>
      <c r="S874">
        <v>56.341999999999999</v>
      </c>
      <c r="T874">
        <v>369.22</v>
      </c>
      <c r="U874">
        <v>4.17</v>
      </c>
      <c r="V874">
        <v>2.2000000000000002</v>
      </c>
      <c r="W874">
        <v>12.4</v>
      </c>
      <c r="X874">
        <v>-9.9</v>
      </c>
    </row>
    <row r="875" spans="1:25" x14ac:dyDescent="0.25">
      <c r="A875" t="s">
        <v>107</v>
      </c>
      <c r="B875" t="s">
        <v>38</v>
      </c>
      <c r="C875" t="s">
        <v>35</v>
      </c>
      <c r="D875">
        <v>2018</v>
      </c>
      <c r="E875">
        <v>19597874</v>
      </c>
      <c r="F875">
        <v>473122658487</v>
      </c>
      <c r="G875">
        <v>64.069999999999993</v>
      </c>
      <c r="H875">
        <v>61.53</v>
      </c>
      <c r="I875">
        <v>1.77</v>
      </c>
      <c r="J875">
        <v>6.32</v>
      </c>
      <c r="K875">
        <v>26.19</v>
      </c>
      <c r="L875">
        <v>17.66</v>
      </c>
      <c r="M875">
        <v>11.38</v>
      </c>
      <c r="N875">
        <v>26.5</v>
      </c>
      <c r="O875">
        <v>2.7629999999999999</v>
      </c>
      <c r="P875">
        <v>9.8640000000000008</v>
      </c>
      <c r="Q875">
        <v>40.877000000000002</v>
      </c>
      <c r="R875">
        <v>41.360999999999997</v>
      </c>
      <c r="S875">
        <v>58.639000000000003</v>
      </c>
      <c r="T875">
        <v>348.06</v>
      </c>
      <c r="U875">
        <v>3.64</v>
      </c>
      <c r="V875">
        <v>-4.8</v>
      </c>
      <c r="W875">
        <v>-14.7</v>
      </c>
      <c r="X875">
        <v>7.8</v>
      </c>
    </row>
    <row r="876" spans="1:25" x14ac:dyDescent="0.25">
      <c r="A876" t="s">
        <v>107</v>
      </c>
      <c r="B876" t="s">
        <v>38</v>
      </c>
      <c r="C876" t="s">
        <v>35</v>
      </c>
      <c r="D876">
        <v>2019</v>
      </c>
      <c r="E876">
        <v>19501542</v>
      </c>
      <c r="F876">
        <v>456564507688</v>
      </c>
      <c r="G876">
        <v>58.76</v>
      </c>
      <c r="H876">
        <v>60.28</v>
      </c>
      <c r="I876">
        <v>1.78</v>
      </c>
      <c r="J876">
        <v>6.77</v>
      </c>
      <c r="K876">
        <v>24.63</v>
      </c>
      <c r="L876">
        <v>15.58</v>
      </c>
      <c r="M876">
        <v>11.28</v>
      </c>
      <c r="N876">
        <v>22.85</v>
      </c>
      <c r="O876">
        <v>3.0289999999999999</v>
      </c>
      <c r="P876">
        <v>11.521000000000001</v>
      </c>
      <c r="Q876">
        <v>41.915999999999997</v>
      </c>
      <c r="R876">
        <v>38.887</v>
      </c>
      <c r="S876">
        <v>61.113</v>
      </c>
      <c r="T876">
        <v>328.97</v>
      </c>
      <c r="U876">
        <v>3.85</v>
      </c>
      <c r="V876">
        <v>0.6</v>
      </c>
      <c r="W876">
        <v>7.1</v>
      </c>
      <c r="X876">
        <v>-6</v>
      </c>
    </row>
    <row r="877" spans="1:25" x14ac:dyDescent="0.25">
      <c r="A877" t="s">
        <v>107</v>
      </c>
      <c r="B877" t="s">
        <v>38</v>
      </c>
      <c r="C877" t="s">
        <v>35</v>
      </c>
      <c r="D877">
        <v>2020</v>
      </c>
      <c r="E877">
        <v>19392467</v>
      </c>
      <c r="F877">
        <v>483499378450</v>
      </c>
      <c r="G877">
        <v>55.21</v>
      </c>
      <c r="H877">
        <v>58</v>
      </c>
      <c r="I877">
        <v>1.73</v>
      </c>
      <c r="J877">
        <v>6.95</v>
      </c>
      <c r="K877">
        <v>24.61</v>
      </c>
      <c r="L877">
        <v>15.38</v>
      </c>
      <c r="M877">
        <v>11.47</v>
      </c>
      <c r="N877">
        <v>19.13</v>
      </c>
      <c r="O877">
        <v>3.133</v>
      </c>
      <c r="P877">
        <v>12.587999999999999</v>
      </c>
      <c r="Q877">
        <v>44.575000000000003</v>
      </c>
      <c r="R877">
        <v>34.65</v>
      </c>
      <c r="S877">
        <v>65.349999999999994</v>
      </c>
      <c r="T877">
        <v>277.85000000000002</v>
      </c>
      <c r="U877">
        <v>3.91</v>
      </c>
      <c r="V877">
        <v>-2.8</v>
      </c>
      <c r="W877">
        <v>2.7</v>
      </c>
      <c r="X877">
        <v>-0.1</v>
      </c>
    </row>
    <row r="878" spans="1:25" x14ac:dyDescent="0.25">
      <c r="A878" t="s">
        <v>107</v>
      </c>
      <c r="B878" t="s">
        <v>38</v>
      </c>
      <c r="C878" t="s">
        <v>35</v>
      </c>
      <c r="D878">
        <v>2021</v>
      </c>
      <c r="E878">
        <v>19248159</v>
      </c>
      <c r="F878">
        <v>505119539256</v>
      </c>
      <c r="G878">
        <v>58.56</v>
      </c>
      <c r="H878">
        <v>60.76</v>
      </c>
      <c r="I878">
        <v>1.7</v>
      </c>
      <c r="J878">
        <v>6.58</v>
      </c>
      <c r="K878">
        <v>26.34</v>
      </c>
      <c r="L878">
        <v>17.41</v>
      </c>
      <c r="M878">
        <v>11.28</v>
      </c>
      <c r="N878">
        <v>20.94</v>
      </c>
      <c r="O878">
        <v>2.903</v>
      </c>
      <c r="P878">
        <v>11.236000000000001</v>
      </c>
      <c r="Q878">
        <v>44.98</v>
      </c>
      <c r="R878">
        <v>35.758000000000003</v>
      </c>
      <c r="S878">
        <v>64.242000000000004</v>
      </c>
      <c r="T878">
        <v>289.95999999999998</v>
      </c>
      <c r="U878">
        <v>3.73</v>
      </c>
      <c r="V878">
        <v>-1.7</v>
      </c>
      <c r="W878">
        <v>-5.3</v>
      </c>
      <c r="X878">
        <v>7</v>
      </c>
      <c r="Y878" t="s">
        <v>60</v>
      </c>
    </row>
    <row r="879" spans="1:25" x14ac:dyDescent="0.25">
      <c r="A879" t="s">
        <v>107</v>
      </c>
      <c r="B879" t="s">
        <v>38</v>
      </c>
      <c r="C879" t="s">
        <v>35</v>
      </c>
      <c r="D879">
        <v>2022</v>
      </c>
      <c r="E879">
        <v>19166776</v>
      </c>
      <c r="F879">
        <v>504741667296</v>
      </c>
      <c r="G879">
        <v>54.74</v>
      </c>
      <c r="H879">
        <v>55.96</v>
      </c>
      <c r="I879">
        <v>1.99</v>
      </c>
      <c r="J879">
        <v>7</v>
      </c>
      <c r="K879">
        <v>23.62</v>
      </c>
      <c r="L879">
        <v>13.98</v>
      </c>
      <c r="M879">
        <v>11.09</v>
      </c>
      <c r="N879">
        <v>20.03</v>
      </c>
      <c r="O879">
        <v>3.6349999999999998</v>
      </c>
      <c r="P879">
        <v>12.788</v>
      </c>
      <c r="Q879">
        <v>43.149000000000001</v>
      </c>
      <c r="R879">
        <v>36.591000000000001</v>
      </c>
      <c r="S879">
        <v>63.408999999999999</v>
      </c>
      <c r="T879">
        <v>297.77</v>
      </c>
      <c r="U879">
        <v>4.05</v>
      </c>
      <c r="V879">
        <v>17.100000000000001</v>
      </c>
      <c r="W879">
        <v>6.4</v>
      </c>
      <c r="X879">
        <v>-10.3</v>
      </c>
    </row>
    <row r="880" spans="1:25" x14ac:dyDescent="0.25">
      <c r="A880" t="s">
        <v>107</v>
      </c>
      <c r="B880" t="s">
        <v>38</v>
      </c>
      <c r="C880" t="s">
        <v>35</v>
      </c>
      <c r="D880">
        <v>2023</v>
      </c>
      <c r="E880">
        <v>19118482</v>
      </c>
      <c r="G880">
        <v>56.95</v>
      </c>
      <c r="H880">
        <v>53.93</v>
      </c>
      <c r="I880">
        <v>2.23</v>
      </c>
      <c r="J880">
        <v>7.55</v>
      </c>
      <c r="K880">
        <v>28.36</v>
      </c>
      <c r="L880">
        <v>18.14</v>
      </c>
      <c r="M880">
        <v>11.19</v>
      </c>
      <c r="N880">
        <v>17.399999999999999</v>
      </c>
      <c r="O880">
        <v>3.9159999999999999</v>
      </c>
      <c r="P880">
        <v>13.257</v>
      </c>
      <c r="Q880">
        <v>49.798000000000002</v>
      </c>
      <c r="R880">
        <v>30.553000000000001</v>
      </c>
      <c r="S880">
        <v>69.447000000000003</v>
      </c>
      <c r="T880">
        <v>243.2</v>
      </c>
      <c r="U880">
        <v>4.4000000000000004</v>
      </c>
      <c r="V880">
        <v>12.1</v>
      </c>
      <c r="W880">
        <v>7.9</v>
      </c>
      <c r="X880">
        <v>20.100000000000001</v>
      </c>
    </row>
    <row r="881" spans="1:24" x14ac:dyDescent="0.25">
      <c r="A881" t="s">
        <v>107</v>
      </c>
      <c r="B881" t="s">
        <v>38</v>
      </c>
      <c r="C881" t="s">
        <v>35</v>
      </c>
      <c r="D881">
        <v>2024</v>
      </c>
      <c r="E881">
        <v>19015096</v>
      </c>
      <c r="G881">
        <v>52.72</v>
      </c>
      <c r="H881">
        <v>55.68</v>
      </c>
      <c r="I881">
        <v>3.42</v>
      </c>
      <c r="J881">
        <v>6.43</v>
      </c>
      <c r="K881">
        <v>24.52</v>
      </c>
      <c r="L881">
        <v>14.19</v>
      </c>
      <c r="M881">
        <v>10.91</v>
      </c>
      <c r="N881">
        <v>17.29</v>
      </c>
      <c r="O881">
        <v>6.4870000000000001</v>
      </c>
      <c r="P881">
        <v>12.196999999999999</v>
      </c>
      <c r="Q881">
        <v>46.51</v>
      </c>
      <c r="R881">
        <v>32.795999999999999</v>
      </c>
      <c r="S881">
        <v>67.203999999999994</v>
      </c>
      <c r="T881">
        <v>251.33</v>
      </c>
      <c r="U881">
        <v>4.43</v>
      </c>
      <c r="V881">
        <v>53.4</v>
      </c>
      <c r="W881">
        <v>-14.8</v>
      </c>
      <c r="X881">
        <v>-13.5</v>
      </c>
    </row>
    <row r="882" spans="1:24" x14ac:dyDescent="0.25">
      <c r="A882" t="s">
        <v>107</v>
      </c>
      <c r="B882" t="s">
        <v>38</v>
      </c>
      <c r="C882" t="s">
        <v>35</v>
      </c>
      <c r="D882">
        <v>2025</v>
      </c>
      <c r="E882">
        <v>18908655</v>
      </c>
      <c r="G882">
        <v>49.81</v>
      </c>
      <c r="H882">
        <v>54.39</v>
      </c>
      <c r="I882">
        <v>4.88</v>
      </c>
      <c r="J882">
        <v>5.97</v>
      </c>
      <c r="K882">
        <v>23.43</v>
      </c>
      <c r="L882">
        <v>12.09</v>
      </c>
      <c r="M882">
        <v>10.199999999999999</v>
      </c>
      <c r="N882">
        <v>16.18</v>
      </c>
      <c r="O882">
        <v>9.7970000000000006</v>
      </c>
      <c r="P882">
        <v>11.986000000000001</v>
      </c>
      <c r="Q882">
        <v>47.039000000000001</v>
      </c>
      <c r="R882">
        <v>32.482999999999997</v>
      </c>
      <c r="S882">
        <v>67.516999999999996</v>
      </c>
      <c r="T882">
        <v>250.75</v>
      </c>
      <c r="U882">
        <v>4.88</v>
      </c>
      <c r="V882">
        <v>42.7</v>
      </c>
      <c r="W882">
        <v>-7.2</v>
      </c>
      <c r="X882">
        <v>-4.4000000000000004</v>
      </c>
    </row>
    <row r="883" spans="1:24" x14ac:dyDescent="0.25">
      <c r="A883" t="s">
        <v>108</v>
      </c>
      <c r="B883" t="s">
        <v>109</v>
      </c>
      <c r="C883" t="s">
        <v>31</v>
      </c>
      <c r="D883">
        <v>2000</v>
      </c>
      <c r="E883">
        <v>146717784</v>
      </c>
      <c r="F883">
        <v>1547057523527</v>
      </c>
      <c r="G883">
        <v>877.76</v>
      </c>
      <c r="H883">
        <v>863.7</v>
      </c>
      <c r="I883">
        <v>0</v>
      </c>
      <c r="J883">
        <v>0</v>
      </c>
      <c r="K883">
        <v>164.16</v>
      </c>
      <c r="L883">
        <v>164.08</v>
      </c>
      <c r="M883">
        <v>130.71</v>
      </c>
      <c r="N883">
        <v>582.89</v>
      </c>
      <c r="O883">
        <v>0</v>
      </c>
      <c r="P883">
        <v>0</v>
      </c>
      <c r="Q883">
        <v>18.702000000000002</v>
      </c>
      <c r="R883">
        <v>66.406999999999996</v>
      </c>
      <c r="S883">
        <v>33.593000000000004</v>
      </c>
      <c r="T883">
        <v>469.94</v>
      </c>
      <c r="U883">
        <v>0</v>
      </c>
    </row>
    <row r="884" spans="1:24" x14ac:dyDescent="0.25">
      <c r="A884" t="s">
        <v>108</v>
      </c>
      <c r="B884" t="s">
        <v>109</v>
      </c>
      <c r="C884" t="s">
        <v>31</v>
      </c>
      <c r="D884">
        <v>2001</v>
      </c>
      <c r="E884">
        <v>146117290</v>
      </c>
      <c r="F884">
        <v>1662886727147</v>
      </c>
      <c r="G884">
        <v>891.27</v>
      </c>
      <c r="H884">
        <v>875.41</v>
      </c>
      <c r="I884">
        <v>0</v>
      </c>
      <c r="J884">
        <v>0</v>
      </c>
      <c r="K884">
        <v>174.01</v>
      </c>
      <c r="L884">
        <v>173.9</v>
      </c>
      <c r="M884">
        <v>136.93</v>
      </c>
      <c r="N884">
        <v>580.33000000000004</v>
      </c>
      <c r="O884">
        <v>0</v>
      </c>
      <c r="P884">
        <v>0</v>
      </c>
      <c r="Q884">
        <v>19.524000000000001</v>
      </c>
      <c r="R884">
        <v>65.113</v>
      </c>
      <c r="S884">
        <v>34.887</v>
      </c>
      <c r="T884">
        <v>458.3</v>
      </c>
      <c r="U884">
        <v>0</v>
      </c>
      <c r="X884">
        <v>6</v>
      </c>
    </row>
    <row r="885" spans="1:24" x14ac:dyDescent="0.25">
      <c r="A885" t="s">
        <v>108</v>
      </c>
      <c r="B885" t="s">
        <v>109</v>
      </c>
      <c r="C885" t="s">
        <v>31</v>
      </c>
      <c r="D885">
        <v>2002</v>
      </c>
      <c r="E885">
        <v>145939502</v>
      </c>
      <c r="F885">
        <v>1781424730851</v>
      </c>
      <c r="G885">
        <v>891.28</v>
      </c>
      <c r="H885">
        <v>878.34</v>
      </c>
      <c r="I885">
        <v>0</v>
      </c>
      <c r="J885">
        <v>0.01</v>
      </c>
      <c r="K885">
        <v>162.35</v>
      </c>
      <c r="L885">
        <v>162.16999999999999</v>
      </c>
      <c r="M885">
        <v>141.63</v>
      </c>
      <c r="N885">
        <v>587.29999999999995</v>
      </c>
      <c r="O885">
        <v>0</v>
      </c>
      <c r="P885">
        <v>1E-3</v>
      </c>
      <c r="Q885">
        <v>18.215</v>
      </c>
      <c r="R885">
        <v>65.894000000000005</v>
      </c>
      <c r="S885">
        <v>34.106000000000002</v>
      </c>
      <c r="T885">
        <v>463.04</v>
      </c>
      <c r="U885">
        <v>0</v>
      </c>
      <c r="X885">
        <v>-6.7</v>
      </c>
    </row>
    <row r="886" spans="1:24" x14ac:dyDescent="0.25">
      <c r="A886" t="s">
        <v>108</v>
      </c>
      <c r="B886" t="s">
        <v>109</v>
      </c>
      <c r="C886" t="s">
        <v>31</v>
      </c>
      <c r="D886">
        <v>2003</v>
      </c>
      <c r="E886">
        <v>145794230</v>
      </c>
      <c r="F886">
        <v>1955875991276</v>
      </c>
      <c r="G886">
        <v>916.29</v>
      </c>
      <c r="H886">
        <v>902.91</v>
      </c>
      <c r="I886">
        <v>0</v>
      </c>
      <c r="J886">
        <v>0.01</v>
      </c>
      <c r="K886">
        <v>156.05000000000001</v>
      </c>
      <c r="L886">
        <v>155.66999999999999</v>
      </c>
      <c r="M886">
        <v>150.34</v>
      </c>
      <c r="N886">
        <v>609.9</v>
      </c>
      <c r="O886">
        <v>0</v>
      </c>
      <c r="P886">
        <v>1E-3</v>
      </c>
      <c r="Q886">
        <v>17.030999999999999</v>
      </c>
      <c r="R886">
        <v>66.561999999999998</v>
      </c>
      <c r="S886">
        <v>33.438000000000002</v>
      </c>
      <c r="T886">
        <v>465.28</v>
      </c>
      <c r="U886">
        <v>0</v>
      </c>
      <c r="W886">
        <v>0</v>
      </c>
      <c r="X886">
        <v>-3.9</v>
      </c>
    </row>
    <row r="887" spans="1:24" x14ac:dyDescent="0.25">
      <c r="A887" t="s">
        <v>108</v>
      </c>
      <c r="B887" t="s">
        <v>109</v>
      </c>
      <c r="C887" t="s">
        <v>31</v>
      </c>
      <c r="D887">
        <v>2004</v>
      </c>
      <c r="E887">
        <v>145180091</v>
      </c>
      <c r="F887">
        <v>2143914665541</v>
      </c>
      <c r="G887">
        <v>931.91</v>
      </c>
      <c r="H887">
        <v>924.29</v>
      </c>
      <c r="I887">
        <v>0</v>
      </c>
      <c r="J887">
        <v>0.01</v>
      </c>
      <c r="K887">
        <v>176.14</v>
      </c>
      <c r="L887">
        <v>175.68</v>
      </c>
      <c r="M887">
        <v>144.71</v>
      </c>
      <c r="N887">
        <v>611.05999999999995</v>
      </c>
      <c r="O887">
        <v>0</v>
      </c>
      <c r="P887">
        <v>1E-3</v>
      </c>
      <c r="Q887">
        <v>18.901</v>
      </c>
      <c r="R887">
        <v>65.570999999999998</v>
      </c>
      <c r="S887">
        <v>34.429000000000002</v>
      </c>
      <c r="T887">
        <v>453.72</v>
      </c>
      <c r="U887">
        <v>0</v>
      </c>
      <c r="W887">
        <v>0</v>
      </c>
      <c r="X887">
        <v>12.9</v>
      </c>
    </row>
    <row r="888" spans="1:24" x14ac:dyDescent="0.25">
      <c r="A888" t="s">
        <v>108</v>
      </c>
      <c r="B888" t="s">
        <v>109</v>
      </c>
      <c r="C888" t="s">
        <v>31</v>
      </c>
      <c r="D888">
        <v>2005</v>
      </c>
      <c r="E888">
        <v>144597886</v>
      </c>
      <c r="F888">
        <v>2331247104465</v>
      </c>
      <c r="G888">
        <v>954.11</v>
      </c>
      <c r="H888">
        <v>941.73</v>
      </c>
      <c r="I888">
        <v>0</v>
      </c>
      <c r="J888">
        <v>0.01</v>
      </c>
      <c r="K888">
        <v>173.07</v>
      </c>
      <c r="L888">
        <v>172.61</v>
      </c>
      <c r="M888">
        <v>149.44999999999999</v>
      </c>
      <c r="N888">
        <v>631.59</v>
      </c>
      <c r="O888">
        <v>0</v>
      </c>
      <c r="P888">
        <v>1E-3</v>
      </c>
      <c r="Q888">
        <v>18.138999999999999</v>
      </c>
      <c r="R888">
        <v>66.197000000000003</v>
      </c>
      <c r="S888">
        <v>33.802999999999997</v>
      </c>
      <c r="T888">
        <v>457.4</v>
      </c>
      <c r="U888">
        <v>0</v>
      </c>
      <c r="W888">
        <v>0</v>
      </c>
      <c r="X888">
        <v>-1.7</v>
      </c>
    </row>
    <row r="889" spans="1:24" x14ac:dyDescent="0.25">
      <c r="A889" t="s">
        <v>108</v>
      </c>
      <c r="B889" t="s">
        <v>109</v>
      </c>
      <c r="C889" t="s">
        <v>31</v>
      </c>
      <c r="D889">
        <v>2006</v>
      </c>
      <c r="E889">
        <v>144102948</v>
      </c>
      <c r="F889">
        <v>2576148450528</v>
      </c>
      <c r="G889">
        <v>992.12</v>
      </c>
      <c r="H889">
        <v>976.31</v>
      </c>
      <c r="I889">
        <v>0</v>
      </c>
      <c r="J889">
        <v>0.01</v>
      </c>
      <c r="K889">
        <v>173.81</v>
      </c>
      <c r="L889">
        <v>173.29</v>
      </c>
      <c r="M889">
        <v>156.44</v>
      </c>
      <c r="N889">
        <v>661.87</v>
      </c>
      <c r="O889">
        <v>0</v>
      </c>
      <c r="P889">
        <v>1E-3</v>
      </c>
      <c r="Q889">
        <v>17.518999999999998</v>
      </c>
      <c r="R889">
        <v>66.712999999999994</v>
      </c>
      <c r="S889">
        <v>33.286999999999999</v>
      </c>
      <c r="T889">
        <v>462.51</v>
      </c>
      <c r="U889">
        <v>0</v>
      </c>
      <c r="W889">
        <v>0</v>
      </c>
      <c r="X889">
        <v>0.4</v>
      </c>
    </row>
    <row r="890" spans="1:24" x14ac:dyDescent="0.25">
      <c r="A890" t="s">
        <v>108</v>
      </c>
      <c r="B890" t="s">
        <v>109</v>
      </c>
      <c r="C890" t="s">
        <v>31</v>
      </c>
      <c r="D890">
        <v>2007</v>
      </c>
      <c r="E890">
        <v>143859767</v>
      </c>
      <c r="F890">
        <v>2858759376272</v>
      </c>
      <c r="G890">
        <v>1018.7</v>
      </c>
      <c r="H890">
        <v>1005.9</v>
      </c>
      <c r="I890">
        <v>0</v>
      </c>
      <c r="J890">
        <v>0.01</v>
      </c>
      <c r="K890">
        <v>177.53</v>
      </c>
      <c r="L890">
        <v>177.04</v>
      </c>
      <c r="M890">
        <v>160.06</v>
      </c>
      <c r="N890">
        <v>681.11</v>
      </c>
      <c r="O890">
        <v>0</v>
      </c>
      <c r="P890">
        <v>1E-3</v>
      </c>
      <c r="Q890">
        <v>17.427</v>
      </c>
      <c r="R890">
        <v>66.861000000000004</v>
      </c>
      <c r="S890">
        <v>33.139000000000003</v>
      </c>
      <c r="T890">
        <v>458.19</v>
      </c>
      <c r="U890">
        <v>0</v>
      </c>
      <c r="W890">
        <v>0</v>
      </c>
      <c r="X890">
        <v>2.1</v>
      </c>
    </row>
    <row r="891" spans="1:24" x14ac:dyDescent="0.25">
      <c r="A891" t="s">
        <v>108</v>
      </c>
      <c r="B891" t="s">
        <v>109</v>
      </c>
      <c r="C891" t="s">
        <v>31</v>
      </c>
      <c r="D891">
        <v>2008</v>
      </c>
      <c r="E891">
        <v>143811837</v>
      </c>
      <c r="F891">
        <v>3078094367564</v>
      </c>
      <c r="G891">
        <v>1040</v>
      </c>
      <c r="H891">
        <v>1022.37</v>
      </c>
      <c r="I891">
        <v>0</v>
      </c>
      <c r="J891">
        <v>0.01</v>
      </c>
      <c r="K891">
        <v>165.28</v>
      </c>
      <c r="L891">
        <v>164.78</v>
      </c>
      <c r="M891">
        <v>163.08000000000001</v>
      </c>
      <c r="N891">
        <v>711.64</v>
      </c>
      <c r="O891">
        <v>0</v>
      </c>
      <c r="P891">
        <v>1E-3</v>
      </c>
      <c r="Q891">
        <v>15.891999999999999</v>
      </c>
      <c r="R891">
        <v>68.427000000000007</v>
      </c>
      <c r="S891">
        <v>31.573</v>
      </c>
      <c r="T891">
        <v>475.11</v>
      </c>
      <c r="U891">
        <v>0</v>
      </c>
      <c r="W891">
        <v>0</v>
      </c>
      <c r="X891">
        <v>-6.9</v>
      </c>
    </row>
    <row r="892" spans="1:24" x14ac:dyDescent="0.25">
      <c r="A892" t="s">
        <v>108</v>
      </c>
      <c r="B892" t="s">
        <v>109</v>
      </c>
      <c r="C892" t="s">
        <v>31</v>
      </c>
      <c r="D892">
        <v>2009</v>
      </c>
      <c r="E892">
        <v>143869128</v>
      </c>
      <c r="F892">
        <v>2903690263125</v>
      </c>
      <c r="G892">
        <v>993.1</v>
      </c>
      <c r="H892">
        <v>978.24</v>
      </c>
      <c r="I892">
        <v>0</v>
      </c>
      <c r="J892">
        <v>0</v>
      </c>
      <c r="K892">
        <v>174.7</v>
      </c>
      <c r="L892">
        <v>174.2</v>
      </c>
      <c r="M892">
        <v>163.58000000000001</v>
      </c>
      <c r="N892">
        <v>654.82000000000005</v>
      </c>
      <c r="O892">
        <v>0</v>
      </c>
      <c r="P892">
        <v>0</v>
      </c>
      <c r="Q892">
        <v>17.591000000000001</v>
      </c>
      <c r="R892">
        <v>65.936999999999998</v>
      </c>
      <c r="S892">
        <v>34.063000000000002</v>
      </c>
      <c r="T892">
        <v>452.1</v>
      </c>
      <c r="U892">
        <v>0</v>
      </c>
      <c r="W892">
        <v>-100</v>
      </c>
      <c r="X892">
        <v>5.7</v>
      </c>
    </row>
    <row r="893" spans="1:24" x14ac:dyDescent="0.25">
      <c r="A893" t="s">
        <v>108</v>
      </c>
      <c r="B893" t="s">
        <v>109</v>
      </c>
      <c r="C893" t="s">
        <v>31</v>
      </c>
      <c r="D893">
        <v>2010</v>
      </c>
      <c r="E893">
        <v>143934468</v>
      </c>
      <c r="F893">
        <v>3105249267337</v>
      </c>
      <c r="G893">
        <v>1038.02</v>
      </c>
      <c r="H893">
        <v>1020.57</v>
      </c>
      <c r="I893">
        <v>0</v>
      </c>
      <c r="J893">
        <v>0</v>
      </c>
      <c r="K893">
        <v>167.02</v>
      </c>
      <c r="L893">
        <v>166.48</v>
      </c>
      <c r="M893">
        <v>170.41</v>
      </c>
      <c r="N893">
        <v>700.59</v>
      </c>
      <c r="O893">
        <v>0</v>
      </c>
      <c r="P893">
        <v>0</v>
      </c>
      <c r="Q893">
        <v>16.09</v>
      </c>
      <c r="R893">
        <v>67.492999999999995</v>
      </c>
      <c r="S893">
        <v>32.506999999999998</v>
      </c>
      <c r="T893">
        <v>458.02</v>
      </c>
      <c r="U893">
        <v>0</v>
      </c>
      <c r="X893">
        <v>-4.4000000000000004</v>
      </c>
    </row>
    <row r="894" spans="1:24" x14ac:dyDescent="0.25">
      <c r="A894" t="s">
        <v>108</v>
      </c>
      <c r="B894" t="s">
        <v>109</v>
      </c>
      <c r="C894" t="s">
        <v>31</v>
      </c>
      <c r="D894">
        <v>2011</v>
      </c>
      <c r="E894">
        <v>144043751</v>
      </c>
      <c r="F894">
        <v>3306765993750</v>
      </c>
      <c r="G894">
        <v>1054.8599999999999</v>
      </c>
      <c r="H894">
        <v>1032.31</v>
      </c>
      <c r="I894">
        <v>0</v>
      </c>
      <c r="J894">
        <v>0.01</v>
      </c>
      <c r="K894">
        <v>163.62</v>
      </c>
      <c r="L894">
        <v>163.05000000000001</v>
      </c>
      <c r="M894">
        <v>172.94</v>
      </c>
      <c r="N894">
        <v>718.3</v>
      </c>
      <c r="O894">
        <v>0</v>
      </c>
      <c r="P894">
        <v>1E-3</v>
      </c>
      <c r="Q894">
        <v>15.510999999999999</v>
      </c>
      <c r="R894">
        <v>68.093999999999994</v>
      </c>
      <c r="S894">
        <v>31.905999999999999</v>
      </c>
      <c r="T894">
        <v>461.31</v>
      </c>
      <c r="U894">
        <v>0</v>
      </c>
      <c r="X894">
        <v>-2</v>
      </c>
    </row>
    <row r="895" spans="1:24" x14ac:dyDescent="0.25">
      <c r="A895" t="s">
        <v>108</v>
      </c>
      <c r="B895" t="s">
        <v>109</v>
      </c>
      <c r="C895" t="s">
        <v>31</v>
      </c>
      <c r="D895">
        <v>2012</v>
      </c>
      <c r="E895">
        <v>144291025</v>
      </c>
      <c r="F895">
        <v>3439833075673</v>
      </c>
      <c r="G895">
        <v>1069.27</v>
      </c>
      <c r="H895">
        <v>1052.79</v>
      </c>
      <c r="I895">
        <v>0</v>
      </c>
      <c r="J895">
        <v>0.01</v>
      </c>
      <c r="K895">
        <v>163.96</v>
      </c>
      <c r="L895">
        <v>163.44999999999999</v>
      </c>
      <c r="M895">
        <v>177.53</v>
      </c>
      <c r="N895">
        <v>727.78</v>
      </c>
      <c r="O895">
        <v>0</v>
      </c>
      <c r="P895">
        <v>1E-3</v>
      </c>
      <c r="Q895">
        <v>15.334</v>
      </c>
      <c r="R895">
        <v>68.063000000000002</v>
      </c>
      <c r="S895">
        <v>31.937000000000001</v>
      </c>
      <c r="T895">
        <v>461.86</v>
      </c>
      <c r="U895">
        <v>0</v>
      </c>
      <c r="W895">
        <v>0</v>
      </c>
      <c r="X895">
        <v>0.2</v>
      </c>
    </row>
    <row r="896" spans="1:24" x14ac:dyDescent="0.25">
      <c r="A896" t="s">
        <v>108</v>
      </c>
      <c r="B896" t="s">
        <v>109</v>
      </c>
      <c r="C896" t="s">
        <v>31</v>
      </c>
      <c r="D896">
        <v>2013</v>
      </c>
      <c r="E896">
        <v>144604105</v>
      </c>
      <c r="F896">
        <v>3500216789791</v>
      </c>
      <c r="G896">
        <v>1059.08</v>
      </c>
      <c r="H896">
        <v>1045.4000000000001</v>
      </c>
      <c r="I896">
        <v>0.01</v>
      </c>
      <c r="J896">
        <v>0</v>
      </c>
      <c r="K896">
        <v>181.64</v>
      </c>
      <c r="L896">
        <v>181.15</v>
      </c>
      <c r="M896">
        <v>172.51</v>
      </c>
      <c r="N896">
        <v>704.93</v>
      </c>
      <c r="O896">
        <v>1E-3</v>
      </c>
      <c r="P896">
        <v>0</v>
      </c>
      <c r="Q896">
        <v>17.151</v>
      </c>
      <c r="R896">
        <v>66.561000000000007</v>
      </c>
      <c r="S896">
        <v>33.439</v>
      </c>
      <c r="T896">
        <v>450.16</v>
      </c>
      <c r="U896">
        <v>0</v>
      </c>
      <c r="W896">
        <v>-100</v>
      </c>
      <c r="X896">
        <v>10.8</v>
      </c>
    </row>
    <row r="897" spans="1:24" x14ac:dyDescent="0.25">
      <c r="A897" t="s">
        <v>108</v>
      </c>
      <c r="B897" t="s">
        <v>109</v>
      </c>
      <c r="C897" t="s">
        <v>31</v>
      </c>
      <c r="D897">
        <v>2014</v>
      </c>
      <c r="E897">
        <v>144925639</v>
      </c>
      <c r="F897">
        <v>3525987597216</v>
      </c>
      <c r="G897">
        <v>1064.2</v>
      </c>
      <c r="H897">
        <v>1056.1500000000001</v>
      </c>
      <c r="I897">
        <v>0.16</v>
      </c>
      <c r="J897">
        <v>0.1</v>
      </c>
      <c r="K897">
        <v>174.21</v>
      </c>
      <c r="L897">
        <v>173.4</v>
      </c>
      <c r="M897">
        <v>180.76</v>
      </c>
      <c r="N897">
        <v>709.23</v>
      </c>
      <c r="O897">
        <v>1.4999999999999999E-2</v>
      </c>
      <c r="P897">
        <v>8.9999999999999993E-3</v>
      </c>
      <c r="Q897">
        <v>16.37</v>
      </c>
      <c r="R897">
        <v>66.644000000000005</v>
      </c>
      <c r="S897">
        <v>33.356000000000002</v>
      </c>
      <c r="T897">
        <v>449.29</v>
      </c>
      <c r="U897">
        <v>0.12</v>
      </c>
      <c r="V897">
        <v>1500</v>
      </c>
      <c r="X897">
        <v>-4.0999999999999996</v>
      </c>
    </row>
    <row r="898" spans="1:24" x14ac:dyDescent="0.25">
      <c r="A898" t="s">
        <v>108</v>
      </c>
      <c r="B898" t="s">
        <v>109</v>
      </c>
      <c r="C898" t="s">
        <v>31</v>
      </c>
      <c r="D898">
        <v>2015</v>
      </c>
      <c r="E898">
        <v>145307612</v>
      </c>
      <c r="F898">
        <v>3456429719677</v>
      </c>
      <c r="G898">
        <v>1067.55</v>
      </c>
      <c r="H898">
        <v>1055.8900000000001</v>
      </c>
      <c r="I898">
        <v>0.34</v>
      </c>
      <c r="J898">
        <v>0.15</v>
      </c>
      <c r="K898">
        <v>168.96</v>
      </c>
      <c r="L898">
        <v>167.99</v>
      </c>
      <c r="M898">
        <v>195.47</v>
      </c>
      <c r="N898">
        <v>703.12</v>
      </c>
      <c r="O898">
        <v>3.2000000000000001E-2</v>
      </c>
      <c r="P898">
        <v>1.4E-2</v>
      </c>
      <c r="Q898">
        <v>15.827</v>
      </c>
      <c r="R898">
        <v>65.863</v>
      </c>
      <c r="S898">
        <v>34.137</v>
      </c>
      <c r="T898">
        <v>444.35</v>
      </c>
      <c r="U898">
        <v>0.22</v>
      </c>
      <c r="V898">
        <v>112.5</v>
      </c>
      <c r="W898">
        <v>50</v>
      </c>
      <c r="X898">
        <v>-3</v>
      </c>
    </row>
    <row r="899" spans="1:24" x14ac:dyDescent="0.25">
      <c r="A899" t="s">
        <v>108</v>
      </c>
      <c r="B899" t="s">
        <v>109</v>
      </c>
      <c r="C899" t="s">
        <v>31</v>
      </c>
      <c r="D899">
        <v>2016</v>
      </c>
      <c r="E899">
        <v>145778668</v>
      </c>
      <c r="F899">
        <v>3463123938280</v>
      </c>
      <c r="G899">
        <v>1090.97</v>
      </c>
      <c r="H899">
        <v>1076.47</v>
      </c>
      <c r="I899">
        <v>0.47</v>
      </c>
      <c r="J899">
        <v>0.15</v>
      </c>
      <c r="K899">
        <v>185.68</v>
      </c>
      <c r="L899">
        <v>184.61</v>
      </c>
      <c r="M899">
        <v>196.61</v>
      </c>
      <c r="N899">
        <v>708.68</v>
      </c>
      <c r="O899">
        <v>4.2999999999999997E-2</v>
      </c>
      <c r="P899">
        <v>1.4E-2</v>
      </c>
      <c r="Q899">
        <v>17.02</v>
      </c>
      <c r="R899">
        <v>64.959000000000003</v>
      </c>
      <c r="S899">
        <v>35.040999999999997</v>
      </c>
      <c r="T899">
        <v>442.74</v>
      </c>
      <c r="U899">
        <v>0.28000000000000003</v>
      </c>
      <c r="V899">
        <v>38.200000000000003</v>
      </c>
      <c r="W899">
        <v>0</v>
      </c>
      <c r="X899">
        <v>9.9</v>
      </c>
    </row>
    <row r="900" spans="1:24" x14ac:dyDescent="0.25">
      <c r="A900" t="s">
        <v>108</v>
      </c>
      <c r="B900" t="s">
        <v>109</v>
      </c>
      <c r="C900" t="s">
        <v>31</v>
      </c>
      <c r="D900">
        <v>2017</v>
      </c>
      <c r="E900">
        <v>146186798</v>
      </c>
      <c r="F900">
        <v>3526353842599</v>
      </c>
      <c r="G900">
        <v>1091.17</v>
      </c>
      <c r="H900">
        <v>1080.57</v>
      </c>
      <c r="I900">
        <v>0.54</v>
      </c>
      <c r="J900">
        <v>0.14000000000000001</v>
      </c>
      <c r="K900">
        <v>186.36</v>
      </c>
      <c r="L900">
        <v>185.16</v>
      </c>
      <c r="M900">
        <v>203.14</v>
      </c>
      <c r="N900">
        <v>701.67</v>
      </c>
      <c r="O900">
        <v>4.9000000000000002E-2</v>
      </c>
      <c r="P900">
        <v>1.2999999999999999E-2</v>
      </c>
      <c r="Q900">
        <v>17.079000000000001</v>
      </c>
      <c r="R900">
        <v>64.304000000000002</v>
      </c>
      <c r="S900">
        <v>35.695999999999998</v>
      </c>
      <c r="T900">
        <v>439.63</v>
      </c>
      <c r="U900">
        <v>0.31</v>
      </c>
      <c r="V900">
        <v>14.9</v>
      </c>
      <c r="W900">
        <v>-6.7</v>
      </c>
      <c r="X900">
        <v>0.4</v>
      </c>
    </row>
    <row r="901" spans="1:24" x14ac:dyDescent="0.25">
      <c r="A901" t="s">
        <v>108</v>
      </c>
      <c r="B901" t="s">
        <v>109</v>
      </c>
      <c r="C901" t="s">
        <v>31</v>
      </c>
      <c r="D901">
        <v>2018</v>
      </c>
      <c r="E901">
        <v>146430146</v>
      </c>
      <c r="F901">
        <v>3625347362801</v>
      </c>
      <c r="G901">
        <v>1109.19</v>
      </c>
      <c r="H901">
        <v>1096.5899999999999</v>
      </c>
      <c r="I901">
        <v>0.62</v>
      </c>
      <c r="J901">
        <v>0.24</v>
      </c>
      <c r="K901">
        <v>192</v>
      </c>
      <c r="L901">
        <v>190.64</v>
      </c>
      <c r="M901">
        <v>204.58</v>
      </c>
      <c r="N901">
        <v>712.61</v>
      </c>
      <c r="O901">
        <v>5.6000000000000001E-2</v>
      </c>
      <c r="P901">
        <v>2.1999999999999999E-2</v>
      </c>
      <c r="Q901">
        <v>17.309999999999999</v>
      </c>
      <c r="R901">
        <v>64.245999999999995</v>
      </c>
      <c r="S901">
        <v>35.753999999999998</v>
      </c>
      <c r="T901">
        <v>439.33</v>
      </c>
      <c r="U901">
        <v>0.39</v>
      </c>
      <c r="V901">
        <v>14.8</v>
      </c>
      <c r="W901">
        <v>71.400000000000006</v>
      </c>
      <c r="X901">
        <v>3</v>
      </c>
    </row>
    <row r="902" spans="1:24" x14ac:dyDescent="0.25">
      <c r="A902" t="s">
        <v>108</v>
      </c>
      <c r="B902" t="s">
        <v>109</v>
      </c>
      <c r="C902" t="s">
        <v>31</v>
      </c>
      <c r="D902">
        <v>2019</v>
      </c>
      <c r="E902">
        <v>146533063</v>
      </c>
      <c r="F902">
        <v>3705035583500</v>
      </c>
      <c r="G902">
        <v>1118.1600000000001</v>
      </c>
      <c r="H902">
        <v>1099.73</v>
      </c>
      <c r="I902">
        <v>0.99</v>
      </c>
      <c r="J902">
        <v>0.31</v>
      </c>
      <c r="K902">
        <v>196.22</v>
      </c>
      <c r="L902">
        <v>194.38</v>
      </c>
      <c r="M902">
        <v>208.99</v>
      </c>
      <c r="N902">
        <v>712.95</v>
      </c>
      <c r="O902">
        <v>8.8999999999999996E-2</v>
      </c>
      <c r="P902">
        <v>2.8000000000000001E-2</v>
      </c>
      <c r="Q902">
        <v>17.547999999999998</v>
      </c>
      <c r="R902">
        <v>63.761000000000003</v>
      </c>
      <c r="S902">
        <v>36.238999999999997</v>
      </c>
      <c r="T902">
        <v>440.04</v>
      </c>
      <c r="U902">
        <v>0.57999999999999996</v>
      </c>
      <c r="V902">
        <v>59.7</v>
      </c>
      <c r="W902">
        <v>29.2</v>
      </c>
      <c r="X902">
        <v>2.2000000000000002</v>
      </c>
    </row>
    <row r="903" spans="1:24" x14ac:dyDescent="0.25">
      <c r="A903" t="s">
        <v>108</v>
      </c>
      <c r="B903" t="s">
        <v>109</v>
      </c>
      <c r="C903" t="s">
        <v>31</v>
      </c>
      <c r="D903">
        <v>2020</v>
      </c>
      <c r="E903">
        <v>146371295</v>
      </c>
      <c r="F903">
        <v>3606716578675</v>
      </c>
      <c r="G903">
        <v>1085.42</v>
      </c>
      <c r="H903">
        <v>1074.68</v>
      </c>
      <c r="I903">
        <v>1.86</v>
      </c>
      <c r="J903">
        <v>1.1399999999999999</v>
      </c>
      <c r="K903">
        <v>216.25</v>
      </c>
      <c r="L903">
        <v>212.44</v>
      </c>
      <c r="M903">
        <v>215.91</v>
      </c>
      <c r="N903">
        <v>653.26</v>
      </c>
      <c r="O903">
        <v>0.17100000000000001</v>
      </c>
      <c r="P903">
        <v>0.105</v>
      </c>
      <c r="Q903">
        <v>19.922999999999998</v>
      </c>
      <c r="R903">
        <v>60.185000000000002</v>
      </c>
      <c r="S903">
        <v>39.814999999999998</v>
      </c>
      <c r="T903">
        <v>417.65</v>
      </c>
      <c r="U903">
        <v>1.35</v>
      </c>
      <c r="V903">
        <v>87.9</v>
      </c>
      <c r="W903">
        <v>267.7</v>
      </c>
      <c r="X903">
        <v>10.199999999999999</v>
      </c>
    </row>
    <row r="904" spans="1:24" x14ac:dyDescent="0.25">
      <c r="A904" t="s">
        <v>108</v>
      </c>
      <c r="B904" t="s">
        <v>109</v>
      </c>
      <c r="C904" t="s">
        <v>31</v>
      </c>
      <c r="D904">
        <v>2021</v>
      </c>
      <c r="E904">
        <v>145836172</v>
      </c>
      <c r="F904">
        <v>3809571453737</v>
      </c>
      <c r="G904">
        <v>1157.07</v>
      </c>
      <c r="H904">
        <v>1135.73</v>
      </c>
      <c r="I904">
        <v>2.31</v>
      </c>
      <c r="J904">
        <v>2.58</v>
      </c>
      <c r="K904">
        <v>220.24</v>
      </c>
      <c r="L904">
        <v>214.53</v>
      </c>
      <c r="M904">
        <v>222.39</v>
      </c>
      <c r="N904">
        <v>714.44</v>
      </c>
      <c r="O904">
        <v>0.2</v>
      </c>
      <c r="P904">
        <v>0.223</v>
      </c>
      <c r="Q904">
        <v>19.033999999999999</v>
      </c>
      <c r="R904">
        <v>61.746000000000002</v>
      </c>
      <c r="S904">
        <v>38.253999999999998</v>
      </c>
      <c r="T904">
        <v>426.81</v>
      </c>
      <c r="U904">
        <v>2.2000000000000002</v>
      </c>
      <c r="V904">
        <v>24.2</v>
      </c>
      <c r="W904">
        <v>126.3</v>
      </c>
      <c r="X904">
        <v>1.8</v>
      </c>
    </row>
    <row r="905" spans="1:24" x14ac:dyDescent="0.25">
      <c r="A905" t="s">
        <v>108</v>
      </c>
      <c r="B905" t="s">
        <v>109</v>
      </c>
      <c r="C905" t="s">
        <v>31</v>
      </c>
      <c r="D905">
        <v>2022</v>
      </c>
      <c r="E905">
        <v>145579889</v>
      </c>
      <c r="F905">
        <v>3731440829579</v>
      </c>
      <c r="G905">
        <v>1166.94</v>
      </c>
      <c r="H905">
        <v>1150.54</v>
      </c>
      <c r="I905">
        <v>2.4</v>
      </c>
      <c r="J905">
        <v>4.2</v>
      </c>
      <c r="K905">
        <v>205.11</v>
      </c>
      <c r="L905">
        <v>197.67</v>
      </c>
      <c r="M905">
        <v>223.7</v>
      </c>
      <c r="N905">
        <v>738.13</v>
      </c>
      <c r="O905">
        <v>0.20599999999999999</v>
      </c>
      <c r="P905">
        <v>0.36</v>
      </c>
      <c r="Q905">
        <v>17.577000000000002</v>
      </c>
      <c r="R905">
        <v>63.253</v>
      </c>
      <c r="S905">
        <v>36.747</v>
      </c>
      <c r="T905">
        <v>436.33</v>
      </c>
      <c r="U905">
        <v>2.97</v>
      </c>
      <c r="V905">
        <v>3.9</v>
      </c>
      <c r="W905">
        <v>62.8</v>
      </c>
      <c r="X905">
        <v>-6.9</v>
      </c>
    </row>
    <row r="906" spans="1:24" x14ac:dyDescent="0.25">
      <c r="A906" t="s">
        <v>108</v>
      </c>
      <c r="B906" t="s">
        <v>109</v>
      </c>
      <c r="C906" t="s">
        <v>31</v>
      </c>
      <c r="D906">
        <v>2023</v>
      </c>
      <c r="E906">
        <v>145440502</v>
      </c>
      <c r="G906">
        <v>1178.25</v>
      </c>
      <c r="H906">
        <v>1161.72</v>
      </c>
      <c r="I906">
        <v>2.63</v>
      </c>
      <c r="J906">
        <v>4.75</v>
      </c>
      <c r="K906">
        <v>209.1</v>
      </c>
      <c r="L906">
        <v>200.87</v>
      </c>
      <c r="M906">
        <v>217.38</v>
      </c>
      <c r="N906">
        <v>751.77</v>
      </c>
      <c r="O906">
        <v>0.223</v>
      </c>
      <c r="P906">
        <v>0.40300000000000002</v>
      </c>
      <c r="Q906">
        <v>17.747</v>
      </c>
      <c r="R906">
        <v>63.804000000000002</v>
      </c>
      <c r="S906">
        <v>36.195999999999998</v>
      </c>
      <c r="T906">
        <v>442.74</v>
      </c>
      <c r="U906">
        <v>3.32</v>
      </c>
      <c r="V906">
        <v>9.6</v>
      </c>
      <c r="W906">
        <v>13.1</v>
      </c>
      <c r="X906">
        <v>1.9</v>
      </c>
    </row>
    <row r="907" spans="1:24" x14ac:dyDescent="0.25">
      <c r="A907" t="s">
        <v>108</v>
      </c>
      <c r="B907" t="s">
        <v>109</v>
      </c>
      <c r="C907" t="s">
        <v>31</v>
      </c>
      <c r="D907">
        <v>2024</v>
      </c>
      <c r="E907">
        <v>144820421</v>
      </c>
      <c r="G907">
        <v>1209.31</v>
      </c>
      <c r="H907">
        <v>1192.9100000000001</v>
      </c>
      <c r="I907">
        <v>2.92</v>
      </c>
      <c r="J907">
        <v>4.57</v>
      </c>
      <c r="K907">
        <v>218.86</v>
      </c>
      <c r="L907">
        <v>210.54</v>
      </c>
      <c r="M907">
        <v>215.71</v>
      </c>
      <c r="N907">
        <v>774.74</v>
      </c>
      <c r="O907">
        <v>0.24099999999999999</v>
      </c>
      <c r="P907">
        <v>0.378</v>
      </c>
      <c r="Q907">
        <v>18.097999999999999</v>
      </c>
      <c r="R907">
        <v>64.064999999999998</v>
      </c>
      <c r="S907">
        <v>35.935000000000002</v>
      </c>
      <c r="T907">
        <v>445.98</v>
      </c>
      <c r="U907">
        <v>3.37</v>
      </c>
      <c r="V907">
        <v>11</v>
      </c>
      <c r="W907">
        <v>-3.8</v>
      </c>
      <c r="X907">
        <v>4.7</v>
      </c>
    </row>
    <row r="908" spans="1:24" x14ac:dyDescent="0.25">
      <c r="A908" t="s">
        <v>108</v>
      </c>
      <c r="B908" t="s">
        <v>109</v>
      </c>
      <c r="C908" t="s">
        <v>31</v>
      </c>
      <c r="D908">
        <v>2025</v>
      </c>
      <c r="E908">
        <v>143997393</v>
      </c>
      <c r="G908">
        <v>1192.79</v>
      </c>
      <c r="H908">
        <v>1176.1099999999999</v>
      </c>
      <c r="I908">
        <v>2.84</v>
      </c>
      <c r="J908">
        <v>3.64</v>
      </c>
      <c r="K908">
        <v>206.98</v>
      </c>
      <c r="L908">
        <v>199.73</v>
      </c>
      <c r="M908">
        <v>218.65</v>
      </c>
      <c r="N908">
        <v>767.16</v>
      </c>
      <c r="O908">
        <v>0.23799999999999999</v>
      </c>
      <c r="P908">
        <v>0.30499999999999999</v>
      </c>
      <c r="Q908">
        <v>17.353000000000002</v>
      </c>
      <c r="R908">
        <v>64.316000000000003</v>
      </c>
      <c r="S908">
        <v>35.683999999999997</v>
      </c>
      <c r="T908">
        <v>449.73</v>
      </c>
      <c r="U908">
        <v>2.92</v>
      </c>
      <c r="V908">
        <v>-2.7</v>
      </c>
      <c r="W908">
        <v>-20.399999999999999</v>
      </c>
      <c r="X908">
        <v>-5.4</v>
      </c>
    </row>
    <row r="909" spans="1:24" x14ac:dyDescent="0.25">
      <c r="A909" t="s">
        <v>110</v>
      </c>
      <c r="B909" t="s">
        <v>78</v>
      </c>
      <c r="C909" t="s">
        <v>35</v>
      </c>
      <c r="D909">
        <v>2000</v>
      </c>
      <c r="E909">
        <v>16177733</v>
      </c>
      <c r="F909">
        <v>488272422255</v>
      </c>
      <c r="G909">
        <v>138.69</v>
      </c>
      <c r="H909">
        <v>138.69</v>
      </c>
      <c r="I909">
        <v>0</v>
      </c>
      <c r="J909">
        <v>0</v>
      </c>
      <c r="K909">
        <v>0</v>
      </c>
      <c r="M909">
        <v>0</v>
      </c>
      <c r="N909">
        <v>138.69</v>
      </c>
      <c r="O909">
        <v>0</v>
      </c>
      <c r="P909">
        <v>0</v>
      </c>
      <c r="Q909">
        <v>0</v>
      </c>
      <c r="R909">
        <v>100</v>
      </c>
      <c r="S909">
        <v>0</v>
      </c>
      <c r="T909">
        <v>692.34</v>
      </c>
      <c r="U909">
        <v>0</v>
      </c>
    </row>
    <row r="910" spans="1:24" x14ac:dyDescent="0.25">
      <c r="A910" t="s">
        <v>110</v>
      </c>
      <c r="B910" t="s">
        <v>78</v>
      </c>
      <c r="C910" t="s">
        <v>35</v>
      </c>
      <c r="D910">
        <v>2001</v>
      </c>
      <c r="E910">
        <v>17041405</v>
      </c>
      <c r="F910">
        <v>506978101388</v>
      </c>
      <c r="G910">
        <v>146.09</v>
      </c>
      <c r="H910">
        <v>146.09</v>
      </c>
      <c r="I910">
        <v>0</v>
      </c>
      <c r="J910">
        <v>0</v>
      </c>
      <c r="K910">
        <v>0</v>
      </c>
      <c r="M910">
        <v>0</v>
      </c>
      <c r="N910">
        <v>146.09</v>
      </c>
      <c r="O910">
        <v>0</v>
      </c>
      <c r="P910">
        <v>0</v>
      </c>
      <c r="Q910">
        <v>0</v>
      </c>
      <c r="R910">
        <v>100</v>
      </c>
      <c r="S910">
        <v>0</v>
      </c>
      <c r="T910">
        <v>697.17</v>
      </c>
      <c r="U910">
        <v>0</v>
      </c>
    </row>
    <row r="911" spans="1:24" x14ac:dyDescent="0.25">
      <c r="A911" t="s">
        <v>110</v>
      </c>
      <c r="B911" t="s">
        <v>78</v>
      </c>
      <c r="C911" t="s">
        <v>35</v>
      </c>
      <c r="D911">
        <v>2002</v>
      </c>
      <c r="E911">
        <v>17910909</v>
      </c>
      <c r="F911">
        <v>518347038548</v>
      </c>
      <c r="G911">
        <v>154.91</v>
      </c>
      <c r="H911">
        <v>154.91</v>
      </c>
      <c r="I911">
        <v>0</v>
      </c>
      <c r="J911">
        <v>0</v>
      </c>
      <c r="K911">
        <v>0</v>
      </c>
      <c r="M911">
        <v>0</v>
      </c>
      <c r="N911">
        <v>154.91</v>
      </c>
      <c r="O911">
        <v>0</v>
      </c>
      <c r="P911">
        <v>0</v>
      </c>
      <c r="Q911">
        <v>0</v>
      </c>
      <c r="R911">
        <v>100</v>
      </c>
      <c r="S911">
        <v>0</v>
      </c>
      <c r="T911">
        <v>699.7</v>
      </c>
      <c r="U911">
        <v>0</v>
      </c>
    </row>
    <row r="912" spans="1:24" x14ac:dyDescent="0.25">
      <c r="A912" t="s">
        <v>110</v>
      </c>
      <c r="B912" t="s">
        <v>78</v>
      </c>
      <c r="C912" t="s">
        <v>35</v>
      </c>
      <c r="D912">
        <v>2003</v>
      </c>
      <c r="E912">
        <v>18786771</v>
      </c>
      <c r="F912">
        <v>607244594721</v>
      </c>
      <c r="G912">
        <v>166.58</v>
      </c>
      <c r="H912">
        <v>166.58</v>
      </c>
      <c r="I912">
        <v>0</v>
      </c>
      <c r="J912">
        <v>0</v>
      </c>
      <c r="K912">
        <v>0</v>
      </c>
      <c r="M912">
        <v>0</v>
      </c>
      <c r="N912">
        <v>166.58</v>
      </c>
      <c r="O912">
        <v>0</v>
      </c>
      <c r="P912">
        <v>0</v>
      </c>
      <c r="Q912">
        <v>0</v>
      </c>
      <c r="R912">
        <v>100</v>
      </c>
      <c r="S912">
        <v>0</v>
      </c>
      <c r="T912">
        <v>698.88</v>
      </c>
      <c r="U912">
        <v>0</v>
      </c>
    </row>
    <row r="913" spans="1:24" x14ac:dyDescent="0.25">
      <c r="A913" t="s">
        <v>110</v>
      </c>
      <c r="B913" t="s">
        <v>78</v>
      </c>
      <c r="C913" t="s">
        <v>35</v>
      </c>
      <c r="D913">
        <v>2004</v>
      </c>
      <c r="E913">
        <v>19669486</v>
      </c>
      <c r="F913">
        <v>690846607941</v>
      </c>
      <c r="G913">
        <v>173.41</v>
      </c>
      <c r="H913">
        <v>173.41</v>
      </c>
      <c r="I913">
        <v>0</v>
      </c>
      <c r="J913">
        <v>0</v>
      </c>
      <c r="K913">
        <v>0</v>
      </c>
      <c r="M913">
        <v>0</v>
      </c>
      <c r="N913">
        <v>173.41</v>
      </c>
      <c r="O913">
        <v>0</v>
      </c>
      <c r="P913">
        <v>0</v>
      </c>
      <c r="Q913">
        <v>0</v>
      </c>
      <c r="R913">
        <v>100</v>
      </c>
      <c r="S913">
        <v>0</v>
      </c>
      <c r="T913">
        <v>700.48</v>
      </c>
      <c r="U913">
        <v>0</v>
      </c>
    </row>
    <row r="914" spans="1:24" x14ac:dyDescent="0.25">
      <c r="A914" t="s">
        <v>110</v>
      </c>
      <c r="B914" t="s">
        <v>78</v>
      </c>
      <c r="C914" t="s">
        <v>35</v>
      </c>
      <c r="D914">
        <v>2005</v>
      </c>
      <c r="E914">
        <v>20559886</v>
      </c>
      <c r="F914">
        <v>768984265306</v>
      </c>
      <c r="G914">
        <v>191.05</v>
      </c>
      <c r="H914">
        <v>191.05</v>
      </c>
      <c r="I914">
        <v>0</v>
      </c>
      <c r="J914">
        <v>0</v>
      </c>
      <c r="K914">
        <v>0</v>
      </c>
      <c r="M914">
        <v>0</v>
      </c>
      <c r="N914">
        <v>191.05</v>
      </c>
      <c r="O914">
        <v>0</v>
      </c>
      <c r="P914">
        <v>0</v>
      </c>
      <c r="Q914">
        <v>0</v>
      </c>
      <c r="R914">
        <v>100</v>
      </c>
      <c r="S914">
        <v>0</v>
      </c>
      <c r="T914">
        <v>700.13</v>
      </c>
      <c r="U914">
        <v>0</v>
      </c>
    </row>
    <row r="915" spans="1:24" x14ac:dyDescent="0.25">
      <c r="A915" t="s">
        <v>110</v>
      </c>
      <c r="B915" t="s">
        <v>78</v>
      </c>
      <c r="C915" t="s">
        <v>35</v>
      </c>
      <c r="D915">
        <v>2006</v>
      </c>
      <c r="E915">
        <v>21459141</v>
      </c>
      <c r="F915">
        <v>833723402383</v>
      </c>
      <c r="G915">
        <v>196.31</v>
      </c>
      <c r="H915">
        <v>196.31</v>
      </c>
      <c r="I915">
        <v>0</v>
      </c>
      <c r="J915">
        <v>0</v>
      </c>
      <c r="K915">
        <v>0</v>
      </c>
      <c r="M915">
        <v>0</v>
      </c>
      <c r="N915">
        <v>196.31</v>
      </c>
      <c r="O915">
        <v>0</v>
      </c>
      <c r="P915">
        <v>0</v>
      </c>
      <c r="Q915">
        <v>0</v>
      </c>
      <c r="R915">
        <v>100</v>
      </c>
      <c r="S915">
        <v>0</v>
      </c>
      <c r="T915">
        <v>697.77</v>
      </c>
      <c r="U915">
        <v>0</v>
      </c>
    </row>
    <row r="916" spans="1:24" x14ac:dyDescent="0.25">
      <c r="A916" t="s">
        <v>110</v>
      </c>
      <c r="B916" t="s">
        <v>78</v>
      </c>
      <c r="C916" t="s">
        <v>35</v>
      </c>
      <c r="D916">
        <v>2007</v>
      </c>
      <c r="E916">
        <v>22368313</v>
      </c>
      <c r="F916">
        <v>896025266041</v>
      </c>
      <c r="G916">
        <v>204.43</v>
      </c>
      <c r="H916">
        <v>204.43</v>
      </c>
      <c r="I916">
        <v>0</v>
      </c>
      <c r="J916">
        <v>0</v>
      </c>
      <c r="K916">
        <v>0</v>
      </c>
      <c r="M916">
        <v>0</v>
      </c>
      <c r="N916">
        <v>204.43</v>
      </c>
      <c r="O916">
        <v>0</v>
      </c>
      <c r="P916">
        <v>0</v>
      </c>
      <c r="Q916">
        <v>0</v>
      </c>
      <c r="R916">
        <v>100</v>
      </c>
      <c r="S916">
        <v>0</v>
      </c>
      <c r="T916">
        <v>695.5</v>
      </c>
      <c r="U916">
        <v>0</v>
      </c>
    </row>
    <row r="917" spans="1:24" x14ac:dyDescent="0.25">
      <c r="A917" t="s">
        <v>110</v>
      </c>
      <c r="B917" t="s">
        <v>78</v>
      </c>
      <c r="C917" t="s">
        <v>35</v>
      </c>
      <c r="D917">
        <v>2008</v>
      </c>
      <c r="E917">
        <v>23287884</v>
      </c>
      <c r="F917">
        <v>1005243539213</v>
      </c>
      <c r="G917">
        <v>204.2</v>
      </c>
      <c r="H917">
        <v>204.2</v>
      </c>
      <c r="I917">
        <v>0</v>
      </c>
      <c r="J917">
        <v>0</v>
      </c>
      <c r="K917">
        <v>0</v>
      </c>
      <c r="M917">
        <v>0</v>
      </c>
      <c r="N917">
        <v>204.2</v>
      </c>
      <c r="O917">
        <v>0</v>
      </c>
      <c r="P917">
        <v>0</v>
      </c>
      <c r="Q917">
        <v>0</v>
      </c>
      <c r="R917">
        <v>100</v>
      </c>
      <c r="S917">
        <v>0</v>
      </c>
      <c r="T917">
        <v>694.81</v>
      </c>
      <c r="U917">
        <v>0</v>
      </c>
    </row>
    <row r="918" spans="1:24" x14ac:dyDescent="0.25">
      <c r="A918" t="s">
        <v>110</v>
      </c>
      <c r="B918" t="s">
        <v>78</v>
      </c>
      <c r="C918" t="s">
        <v>35</v>
      </c>
      <c r="D918">
        <v>2009</v>
      </c>
      <c r="E918">
        <v>24217656</v>
      </c>
      <c r="F918">
        <v>1040467027041</v>
      </c>
      <c r="G918">
        <v>217.31</v>
      </c>
      <c r="H918">
        <v>217.31</v>
      </c>
      <c r="I918">
        <v>0</v>
      </c>
      <c r="J918">
        <v>0</v>
      </c>
      <c r="K918">
        <v>0</v>
      </c>
      <c r="M918">
        <v>0</v>
      </c>
      <c r="N918">
        <v>217.31</v>
      </c>
      <c r="O918">
        <v>0</v>
      </c>
      <c r="P918">
        <v>0</v>
      </c>
      <c r="Q918">
        <v>0</v>
      </c>
      <c r="R918">
        <v>100</v>
      </c>
      <c r="S918">
        <v>0</v>
      </c>
      <c r="T918">
        <v>690.3</v>
      </c>
      <c r="U918">
        <v>0</v>
      </c>
    </row>
    <row r="919" spans="1:24" x14ac:dyDescent="0.25">
      <c r="A919" t="s">
        <v>110</v>
      </c>
      <c r="B919" t="s">
        <v>78</v>
      </c>
      <c r="C919" t="s">
        <v>35</v>
      </c>
      <c r="D919">
        <v>2010</v>
      </c>
      <c r="E919">
        <v>25157134</v>
      </c>
      <c r="F919">
        <v>1156842077931</v>
      </c>
      <c r="G919">
        <v>248.77</v>
      </c>
      <c r="H919">
        <v>248.77</v>
      </c>
      <c r="I919">
        <v>0</v>
      </c>
      <c r="J919">
        <v>0</v>
      </c>
      <c r="K919">
        <v>0</v>
      </c>
      <c r="M919">
        <v>0</v>
      </c>
      <c r="N919">
        <v>248.77</v>
      </c>
      <c r="O919">
        <v>0</v>
      </c>
      <c r="P919">
        <v>0</v>
      </c>
      <c r="Q919">
        <v>0</v>
      </c>
      <c r="R919">
        <v>100</v>
      </c>
      <c r="S919">
        <v>0</v>
      </c>
      <c r="T919">
        <v>691.4</v>
      </c>
      <c r="U919">
        <v>0</v>
      </c>
    </row>
    <row r="920" spans="1:24" x14ac:dyDescent="0.25">
      <c r="A920" t="s">
        <v>110</v>
      </c>
      <c r="B920" t="s">
        <v>78</v>
      </c>
      <c r="C920" t="s">
        <v>35</v>
      </c>
      <c r="D920">
        <v>2011</v>
      </c>
      <c r="E920">
        <v>26105636</v>
      </c>
      <c r="F920">
        <v>1347950226660</v>
      </c>
      <c r="G920">
        <v>259.14999999999998</v>
      </c>
      <c r="H920">
        <v>259.08</v>
      </c>
      <c r="I920">
        <v>0.01</v>
      </c>
      <c r="J920">
        <v>0</v>
      </c>
      <c r="K920">
        <v>0.01</v>
      </c>
      <c r="M920">
        <v>0</v>
      </c>
      <c r="N920">
        <v>259.14</v>
      </c>
      <c r="O920">
        <v>4.0000000000000001E-3</v>
      </c>
      <c r="P920">
        <v>0</v>
      </c>
      <c r="Q920">
        <v>4.0000000000000001E-3</v>
      </c>
      <c r="R920">
        <v>99.995999999999995</v>
      </c>
      <c r="S920">
        <v>4.0000000000000001E-3</v>
      </c>
      <c r="T920">
        <v>691.26</v>
      </c>
      <c r="U920">
        <v>0</v>
      </c>
    </row>
    <row r="921" spans="1:24" x14ac:dyDescent="0.25">
      <c r="A921" t="s">
        <v>110</v>
      </c>
      <c r="B921" t="s">
        <v>78</v>
      </c>
      <c r="C921" t="s">
        <v>35</v>
      </c>
      <c r="D921">
        <v>2012</v>
      </c>
      <c r="E921">
        <v>27062447</v>
      </c>
      <c r="F921">
        <v>1421109142119</v>
      </c>
      <c r="G921">
        <v>281.63</v>
      </c>
      <c r="H921">
        <v>281.58</v>
      </c>
      <c r="I921">
        <v>0.03</v>
      </c>
      <c r="J921">
        <v>0</v>
      </c>
      <c r="K921">
        <v>0.03</v>
      </c>
      <c r="M921">
        <v>0</v>
      </c>
      <c r="N921">
        <v>281.60000000000002</v>
      </c>
      <c r="O921">
        <v>1.0999999999999999E-2</v>
      </c>
      <c r="P921">
        <v>0</v>
      </c>
      <c r="Q921">
        <v>1.0999999999999999E-2</v>
      </c>
      <c r="R921">
        <v>99.989000000000004</v>
      </c>
      <c r="S921">
        <v>1.0999999999999999E-2</v>
      </c>
      <c r="T921">
        <v>692.75</v>
      </c>
      <c r="U921">
        <v>0.01</v>
      </c>
      <c r="V921">
        <v>200</v>
      </c>
      <c r="X921">
        <v>200</v>
      </c>
    </row>
    <row r="922" spans="1:24" x14ac:dyDescent="0.25">
      <c r="A922" t="s">
        <v>110</v>
      </c>
      <c r="B922" t="s">
        <v>78</v>
      </c>
      <c r="C922" t="s">
        <v>35</v>
      </c>
      <c r="D922">
        <v>2013</v>
      </c>
      <c r="E922">
        <v>28026825</v>
      </c>
      <c r="F922">
        <v>1461615692896</v>
      </c>
      <c r="G922">
        <v>294.72000000000003</v>
      </c>
      <c r="H922">
        <v>294.67</v>
      </c>
      <c r="I922">
        <v>0.04</v>
      </c>
      <c r="J922">
        <v>0</v>
      </c>
      <c r="K922">
        <v>0.04</v>
      </c>
      <c r="M922">
        <v>0</v>
      </c>
      <c r="N922">
        <v>294.68</v>
      </c>
      <c r="O922">
        <v>1.4E-2</v>
      </c>
      <c r="P922">
        <v>0</v>
      </c>
      <c r="Q922">
        <v>1.4E-2</v>
      </c>
      <c r="R922">
        <v>99.986000000000004</v>
      </c>
      <c r="S922">
        <v>1.4E-2</v>
      </c>
      <c r="T922">
        <v>693.07</v>
      </c>
      <c r="U922">
        <v>0.02</v>
      </c>
      <c r="V922">
        <v>33.299999999999997</v>
      </c>
      <c r="X922">
        <v>33.299999999999997</v>
      </c>
    </row>
    <row r="923" spans="1:24" x14ac:dyDescent="0.25">
      <c r="A923" t="s">
        <v>110</v>
      </c>
      <c r="B923" t="s">
        <v>78</v>
      </c>
      <c r="C923" t="s">
        <v>35</v>
      </c>
      <c r="D923">
        <v>2014</v>
      </c>
      <c r="E923">
        <v>28998127</v>
      </c>
      <c r="F923">
        <v>1520484201383</v>
      </c>
      <c r="G923">
        <v>328.2</v>
      </c>
      <c r="H923">
        <v>328.15</v>
      </c>
      <c r="I923">
        <v>0.05</v>
      </c>
      <c r="J923">
        <v>0</v>
      </c>
      <c r="K923">
        <v>0.05</v>
      </c>
      <c r="M923">
        <v>0</v>
      </c>
      <c r="N923">
        <v>328.15</v>
      </c>
      <c r="O923">
        <v>1.4999999999999999E-2</v>
      </c>
      <c r="P923">
        <v>0</v>
      </c>
      <c r="Q923">
        <v>1.4999999999999999E-2</v>
      </c>
      <c r="R923">
        <v>99.984999999999999</v>
      </c>
      <c r="S923">
        <v>1.4999999999999999E-2</v>
      </c>
      <c r="T923">
        <v>692.57</v>
      </c>
      <c r="U923">
        <v>0.02</v>
      </c>
      <c r="V923">
        <v>25</v>
      </c>
      <c r="X923">
        <v>25</v>
      </c>
    </row>
    <row r="924" spans="1:24" x14ac:dyDescent="0.25">
      <c r="A924" t="s">
        <v>110</v>
      </c>
      <c r="B924" t="s">
        <v>78</v>
      </c>
      <c r="C924" t="s">
        <v>35</v>
      </c>
      <c r="D924">
        <v>2015</v>
      </c>
      <c r="E924">
        <v>29974944</v>
      </c>
      <c r="F924">
        <v>1591797027903</v>
      </c>
      <c r="G924">
        <v>350.64</v>
      </c>
      <c r="H924">
        <v>350.59</v>
      </c>
      <c r="I924">
        <v>0.05</v>
      </c>
      <c r="J924">
        <v>0</v>
      </c>
      <c r="K924">
        <v>0.05</v>
      </c>
      <c r="M924">
        <v>0</v>
      </c>
      <c r="N924">
        <v>350.59</v>
      </c>
      <c r="O924">
        <v>1.4E-2</v>
      </c>
      <c r="P924">
        <v>0</v>
      </c>
      <c r="Q924">
        <v>1.4E-2</v>
      </c>
      <c r="R924">
        <v>99.986000000000004</v>
      </c>
      <c r="S924">
        <v>1.4E-2</v>
      </c>
      <c r="T924">
        <v>693.08</v>
      </c>
      <c r="U924">
        <v>0.02</v>
      </c>
      <c r="V924">
        <v>0</v>
      </c>
      <c r="X924">
        <v>0</v>
      </c>
    </row>
    <row r="925" spans="1:24" x14ac:dyDescent="0.25">
      <c r="A925" t="s">
        <v>110</v>
      </c>
      <c r="B925" t="s">
        <v>78</v>
      </c>
      <c r="C925" t="s">
        <v>35</v>
      </c>
      <c r="D925">
        <v>2016</v>
      </c>
      <c r="E925">
        <v>30717804</v>
      </c>
      <c r="F925">
        <v>1629412617614</v>
      </c>
      <c r="G925">
        <v>357.66</v>
      </c>
      <c r="H925">
        <v>356.94</v>
      </c>
      <c r="I925">
        <v>0.05</v>
      </c>
      <c r="J925">
        <v>0</v>
      </c>
      <c r="K925">
        <v>0.05</v>
      </c>
      <c r="M925">
        <v>0</v>
      </c>
      <c r="N925">
        <v>357.61</v>
      </c>
      <c r="O925">
        <v>1.4E-2</v>
      </c>
      <c r="P925">
        <v>0</v>
      </c>
      <c r="Q925">
        <v>1.4E-2</v>
      </c>
      <c r="R925">
        <v>99.986000000000004</v>
      </c>
      <c r="S925">
        <v>1.4E-2</v>
      </c>
      <c r="T925">
        <v>697.23</v>
      </c>
      <c r="U925">
        <v>0.02</v>
      </c>
      <c r="V925">
        <v>0</v>
      </c>
      <c r="X925">
        <v>0</v>
      </c>
    </row>
    <row r="926" spans="1:24" x14ac:dyDescent="0.25">
      <c r="A926" t="s">
        <v>110</v>
      </c>
      <c r="B926" t="s">
        <v>78</v>
      </c>
      <c r="C926" t="s">
        <v>35</v>
      </c>
      <c r="D926">
        <v>2017</v>
      </c>
      <c r="E926">
        <v>30782400</v>
      </c>
      <c r="F926">
        <v>1628276592787</v>
      </c>
      <c r="G926">
        <v>394.99</v>
      </c>
      <c r="H926">
        <v>394.96</v>
      </c>
      <c r="I926">
        <v>7.0000000000000007E-2</v>
      </c>
      <c r="J926">
        <v>0</v>
      </c>
      <c r="K926">
        <v>7.0000000000000007E-2</v>
      </c>
      <c r="M926">
        <v>0</v>
      </c>
      <c r="N926">
        <v>394.92</v>
      </c>
      <c r="O926">
        <v>1.7999999999999999E-2</v>
      </c>
      <c r="P926">
        <v>0</v>
      </c>
      <c r="Q926">
        <v>1.7999999999999999E-2</v>
      </c>
      <c r="R926">
        <v>99.981999999999999</v>
      </c>
      <c r="S926">
        <v>1.7999999999999999E-2</v>
      </c>
      <c r="T926">
        <v>699.97</v>
      </c>
      <c r="U926">
        <v>0.03</v>
      </c>
      <c r="V926">
        <v>40</v>
      </c>
      <c r="X926">
        <v>40</v>
      </c>
    </row>
    <row r="927" spans="1:24" x14ac:dyDescent="0.25">
      <c r="A927" t="s">
        <v>110</v>
      </c>
      <c r="B927" t="s">
        <v>78</v>
      </c>
      <c r="C927" t="s">
        <v>35</v>
      </c>
      <c r="D927">
        <v>2018</v>
      </c>
      <c r="E927">
        <v>30365119</v>
      </c>
      <c r="F927">
        <v>1673253984473</v>
      </c>
      <c r="G927">
        <v>374.77</v>
      </c>
      <c r="H927">
        <v>374.74</v>
      </c>
      <c r="I927">
        <v>0.16</v>
      </c>
      <c r="J927">
        <v>0</v>
      </c>
      <c r="K927">
        <v>0.16</v>
      </c>
      <c r="M927">
        <v>0</v>
      </c>
      <c r="N927">
        <v>374.61</v>
      </c>
      <c r="O927">
        <v>4.2999999999999997E-2</v>
      </c>
      <c r="P927">
        <v>0</v>
      </c>
      <c r="Q927">
        <v>4.2999999999999997E-2</v>
      </c>
      <c r="R927">
        <v>99.956999999999994</v>
      </c>
      <c r="S927">
        <v>4.2999999999999997E-2</v>
      </c>
      <c r="T927">
        <v>702.88</v>
      </c>
      <c r="U927">
        <v>7.0000000000000007E-2</v>
      </c>
      <c r="V927">
        <v>128.6</v>
      </c>
      <c r="X927">
        <v>128.6</v>
      </c>
    </row>
    <row r="928" spans="1:24" x14ac:dyDescent="0.25">
      <c r="A928" t="s">
        <v>110</v>
      </c>
      <c r="B928" t="s">
        <v>78</v>
      </c>
      <c r="C928" t="s">
        <v>35</v>
      </c>
      <c r="D928">
        <v>2019</v>
      </c>
      <c r="E928">
        <v>30472809</v>
      </c>
      <c r="F928">
        <v>1687180073621</v>
      </c>
      <c r="G928">
        <v>378.55</v>
      </c>
      <c r="H928">
        <v>378.85</v>
      </c>
      <c r="I928">
        <v>0.21</v>
      </c>
      <c r="J928">
        <v>0.01</v>
      </c>
      <c r="K928">
        <v>0.22</v>
      </c>
      <c r="M928">
        <v>0</v>
      </c>
      <c r="N928">
        <v>378.33</v>
      </c>
      <c r="O928">
        <v>5.5E-2</v>
      </c>
      <c r="P928">
        <v>3.0000000000000001E-3</v>
      </c>
      <c r="Q928">
        <v>5.8000000000000003E-2</v>
      </c>
      <c r="R928">
        <v>99.941999999999993</v>
      </c>
      <c r="S928">
        <v>5.8000000000000003E-2</v>
      </c>
      <c r="T928">
        <v>701.7</v>
      </c>
      <c r="U928">
        <v>0.1</v>
      </c>
      <c r="V928">
        <v>31.2</v>
      </c>
      <c r="X928">
        <v>37.5</v>
      </c>
    </row>
    <row r="929" spans="1:25" x14ac:dyDescent="0.25">
      <c r="A929" t="s">
        <v>110</v>
      </c>
      <c r="B929" t="s">
        <v>78</v>
      </c>
      <c r="C929" t="s">
        <v>35</v>
      </c>
      <c r="D929">
        <v>2020</v>
      </c>
      <c r="E929">
        <v>30991206</v>
      </c>
      <c r="F929">
        <v>1613932868835</v>
      </c>
      <c r="G929">
        <v>380.9</v>
      </c>
      <c r="H929">
        <v>380.53</v>
      </c>
      <c r="I929">
        <v>0.91</v>
      </c>
      <c r="J929">
        <v>0.01</v>
      </c>
      <c r="K929">
        <v>0.92</v>
      </c>
      <c r="M929">
        <v>0</v>
      </c>
      <c r="N929">
        <v>379.98</v>
      </c>
      <c r="O929">
        <v>0.23899999999999999</v>
      </c>
      <c r="P929">
        <v>3.0000000000000001E-3</v>
      </c>
      <c r="Q929">
        <v>0.24199999999999999</v>
      </c>
      <c r="R929">
        <v>99.757999999999996</v>
      </c>
      <c r="S929">
        <v>0.24199999999999999</v>
      </c>
      <c r="T929">
        <v>701.86</v>
      </c>
      <c r="U929">
        <v>0.41</v>
      </c>
      <c r="V929">
        <v>333.3</v>
      </c>
      <c r="W929">
        <v>0</v>
      </c>
      <c r="X929">
        <v>318.2</v>
      </c>
    </row>
    <row r="930" spans="1:25" x14ac:dyDescent="0.25">
      <c r="A930" t="s">
        <v>110</v>
      </c>
      <c r="B930" t="s">
        <v>78</v>
      </c>
      <c r="C930" t="s">
        <v>35</v>
      </c>
      <c r="D930">
        <v>2021</v>
      </c>
      <c r="E930">
        <v>31328374</v>
      </c>
      <c r="F930">
        <v>1677226744197</v>
      </c>
      <c r="G930">
        <v>392.95</v>
      </c>
      <c r="H930">
        <v>392.91</v>
      </c>
      <c r="I930">
        <v>0.99</v>
      </c>
      <c r="J930">
        <v>0.01</v>
      </c>
      <c r="K930">
        <v>1</v>
      </c>
      <c r="M930">
        <v>0</v>
      </c>
      <c r="N930">
        <v>391.95</v>
      </c>
      <c r="O930">
        <v>0.252</v>
      </c>
      <c r="P930">
        <v>3.0000000000000001E-3</v>
      </c>
      <c r="Q930">
        <v>0.254</v>
      </c>
      <c r="R930">
        <v>99.745999999999995</v>
      </c>
      <c r="S930">
        <v>0.254</v>
      </c>
      <c r="T930">
        <v>702.43</v>
      </c>
      <c r="U930">
        <v>0.45</v>
      </c>
      <c r="V930">
        <v>8.8000000000000007</v>
      </c>
      <c r="W930">
        <v>0</v>
      </c>
      <c r="X930">
        <v>8.6999999999999993</v>
      </c>
      <c r="Y930" t="s">
        <v>111</v>
      </c>
    </row>
    <row r="931" spans="1:25" x14ac:dyDescent="0.25">
      <c r="A931" t="s">
        <v>110</v>
      </c>
      <c r="B931" t="s">
        <v>78</v>
      </c>
      <c r="C931" t="s">
        <v>35</v>
      </c>
      <c r="D931">
        <v>2022</v>
      </c>
      <c r="E931">
        <v>32175351</v>
      </c>
      <c r="F931">
        <v>1823886192336</v>
      </c>
      <c r="G931">
        <v>409.84</v>
      </c>
      <c r="H931">
        <v>409.8</v>
      </c>
      <c r="I931">
        <v>1.22</v>
      </c>
      <c r="J931">
        <v>0.79</v>
      </c>
      <c r="K931">
        <v>2.0099999999999998</v>
      </c>
      <c r="M931">
        <v>0</v>
      </c>
      <c r="N931">
        <v>407.83</v>
      </c>
      <c r="O931">
        <v>0.29799999999999999</v>
      </c>
      <c r="P931">
        <v>0.193</v>
      </c>
      <c r="Q931">
        <v>0.49</v>
      </c>
      <c r="R931">
        <v>99.51</v>
      </c>
      <c r="S931">
        <v>0.49</v>
      </c>
      <c r="T931">
        <v>700.05</v>
      </c>
      <c r="U931">
        <v>0.9</v>
      </c>
      <c r="V931">
        <v>23.2</v>
      </c>
      <c r="W931">
        <v>7800</v>
      </c>
      <c r="X931">
        <v>101</v>
      </c>
    </row>
    <row r="932" spans="1:25" x14ac:dyDescent="0.25">
      <c r="A932" t="s">
        <v>110</v>
      </c>
      <c r="B932" t="s">
        <v>78</v>
      </c>
      <c r="C932" t="s">
        <v>35</v>
      </c>
      <c r="D932">
        <v>2023</v>
      </c>
      <c r="E932">
        <v>33264289</v>
      </c>
      <c r="G932">
        <v>429.25</v>
      </c>
      <c r="H932">
        <v>429.21</v>
      </c>
      <c r="I932">
        <v>3.13</v>
      </c>
      <c r="J932">
        <v>1.59</v>
      </c>
      <c r="K932">
        <v>4.72</v>
      </c>
      <c r="M932">
        <v>0</v>
      </c>
      <c r="N932">
        <v>424.53</v>
      </c>
      <c r="O932">
        <v>0.72899999999999998</v>
      </c>
      <c r="P932">
        <v>0.37</v>
      </c>
      <c r="Q932">
        <v>1.1000000000000001</v>
      </c>
      <c r="R932">
        <v>98.9</v>
      </c>
      <c r="S932">
        <v>1.1000000000000001</v>
      </c>
      <c r="T932">
        <v>697.31</v>
      </c>
      <c r="U932">
        <v>2.12</v>
      </c>
      <c r="V932">
        <v>156.6</v>
      </c>
      <c r="W932">
        <v>101.3</v>
      </c>
      <c r="X932">
        <v>134.80000000000001</v>
      </c>
    </row>
    <row r="933" spans="1:25" x14ac:dyDescent="0.25">
      <c r="A933" t="s">
        <v>110</v>
      </c>
      <c r="B933" t="s">
        <v>78</v>
      </c>
      <c r="C933" t="s">
        <v>35</v>
      </c>
      <c r="D933">
        <v>2024</v>
      </c>
      <c r="E933">
        <v>33962751</v>
      </c>
      <c r="G933">
        <v>454.64</v>
      </c>
      <c r="H933">
        <v>454.59</v>
      </c>
      <c r="I933">
        <v>8.23</v>
      </c>
      <c r="J933">
        <v>1.59</v>
      </c>
      <c r="K933">
        <v>9.82</v>
      </c>
      <c r="M933">
        <v>0</v>
      </c>
      <c r="N933">
        <v>444.82</v>
      </c>
      <c r="O933">
        <v>1.81</v>
      </c>
      <c r="P933">
        <v>0.35</v>
      </c>
      <c r="Q933">
        <v>2.16</v>
      </c>
      <c r="R933">
        <v>97.84</v>
      </c>
      <c r="S933">
        <v>2.16</v>
      </c>
      <c r="T933">
        <v>691.95</v>
      </c>
      <c r="U933">
        <v>4.42</v>
      </c>
      <c r="V933">
        <v>162.9</v>
      </c>
      <c r="W933">
        <v>0</v>
      </c>
      <c r="X933">
        <v>108.1</v>
      </c>
    </row>
    <row r="934" spans="1:25" x14ac:dyDescent="0.25">
      <c r="A934" t="s">
        <v>112</v>
      </c>
      <c r="B934" t="s">
        <v>41</v>
      </c>
      <c r="C934" t="s">
        <v>35</v>
      </c>
      <c r="D934">
        <v>2000</v>
      </c>
      <c r="E934">
        <v>4035251</v>
      </c>
      <c r="F934">
        <v>152153574500</v>
      </c>
      <c r="G934">
        <v>31.67</v>
      </c>
      <c r="H934">
        <v>31.67</v>
      </c>
      <c r="I934">
        <v>0</v>
      </c>
      <c r="K934">
        <v>0.49</v>
      </c>
      <c r="M934">
        <v>0</v>
      </c>
      <c r="N934">
        <v>31.18</v>
      </c>
      <c r="O934">
        <v>0</v>
      </c>
      <c r="Q934">
        <v>1.5469999999999999</v>
      </c>
      <c r="R934">
        <v>98.453000000000003</v>
      </c>
      <c r="S934">
        <v>1.5469999999999999</v>
      </c>
      <c r="T934">
        <v>657.09</v>
      </c>
      <c r="U934">
        <v>0</v>
      </c>
    </row>
    <row r="935" spans="1:25" x14ac:dyDescent="0.25">
      <c r="A935" t="s">
        <v>112</v>
      </c>
      <c r="B935" t="s">
        <v>41</v>
      </c>
      <c r="C935" t="s">
        <v>35</v>
      </c>
      <c r="D935">
        <v>2001</v>
      </c>
      <c r="E935">
        <v>4116169</v>
      </c>
      <c r="F935">
        <v>152550774197</v>
      </c>
      <c r="G935">
        <v>33.06</v>
      </c>
      <c r="H935">
        <v>33.06</v>
      </c>
      <c r="I935">
        <v>0</v>
      </c>
      <c r="K935">
        <v>0.69</v>
      </c>
      <c r="M935">
        <v>0</v>
      </c>
      <c r="N935">
        <v>32.369999999999997</v>
      </c>
      <c r="O935">
        <v>0</v>
      </c>
      <c r="Q935">
        <v>2.0870000000000002</v>
      </c>
      <c r="R935">
        <v>97.912999999999997</v>
      </c>
      <c r="S935">
        <v>2.0870000000000002</v>
      </c>
      <c r="T935">
        <v>598.30999999999995</v>
      </c>
      <c r="U935">
        <v>0</v>
      </c>
      <c r="X935">
        <v>40.799999999999997</v>
      </c>
    </row>
    <row r="936" spans="1:25" x14ac:dyDescent="0.25">
      <c r="A936" t="s">
        <v>112</v>
      </c>
      <c r="B936" t="s">
        <v>41</v>
      </c>
      <c r="C936" t="s">
        <v>35</v>
      </c>
      <c r="D936">
        <v>2002</v>
      </c>
      <c r="E936">
        <v>4146898</v>
      </c>
      <c r="F936">
        <v>157982989858</v>
      </c>
      <c r="G936">
        <v>34.659999999999997</v>
      </c>
      <c r="H936">
        <v>34.659999999999997</v>
      </c>
      <c r="I936">
        <v>0</v>
      </c>
      <c r="K936">
        <v>0.77</v>
      </c>
      <c r="M936">
        <v>0</v>
      </c>
      <c r="N936">
        <v>33.89</v>
      </c>
      <c r="O936">
        <v>0</v>
      </c>
      <c r="Q936">
        <v>2.222</v>
      </c>
      <c r="R936">
        <v>97.778000000000006</v>
      </c>
      <c r="S936">
        <v>2.222</v>
      </c>
      <c r="T936">
        <v>586.27</v>
      </c>
      <c r="U936">
        <v>0</v>
      </c>
      <c r="X936">
        <v>11.6</v>
      </c>
    </row>
    <row r="937" spans="1:25" x14ac:dyDescent="0.25">
      <c r="A937" t="s">
        <v>112</v>
      </c>
      <c r="B937" t="s">
        <v>41</v>
      </c>
      <c r="C937" t="s">
        <v>35</v>
      </c>
      <c r="D937">
        <v>2003</v>
      </c>
      <c r="E937">
        <v>4138241</v>
      </c>
      <c r="F937">
        <v>160287778605</v>
      </c>
      <c r="G937">
        <v>35.32</v>
      </c>
      <c r="H937">
        <v>35.32</v>
      </c>
      <c r="I937">
        <v>0</v>
      </c>
      <c r="K937">
        <v>0.99</v>
      </c>
      <c r="M937">
        <v>0</v>
      </c>
      <c r="N937">
        <v>34.33</v>
      </c>
      <c r="O937">
        <v>0</v>
      </c>
      <c r="Q937">
        <v>2.8029999999999999</v>
      </c>
      <c r="R937">
        <v>97.197000000000003</v>
      </c>
      <c r="S937">
        <v>2.8029999999999999</v>
      </c>
      <c r="T937">
        <v>570.5</v>
      </c>
      <c r="U937">
        <v>0</v>
      </c>
      <c r="X937">
        <v>28.6</v>
      </c>
    </row>
    <row r="938" spans="1:25" x14ac:dyDescent="0.25">
      <c r="A938" t="s">
        <v>112</v>
      </c>
      <c r="B938" t="s">
        <v>41</v>
      </c>
      <c r="C938" t="s">
        <v>35</v>
      </c>
      <c r="D938">
        <v>2004</v>
      </c>
      <c r="E938">
        <v>4172767</v>
      </c>
      <c r="F938">
        <v>175483138246</v>
      </c>
      <c r="G938">
        <v>36.82</v>
      </c>
      <c r="H938">
        <v>36.82</v>
      </c>
      <c r="I938">
        <v>0</v>
      </c>
      <c r="K938">
        <v>0.96</v>
      </c>
      <c r="M938">
        <v>0</v>
      </c>
      <c r="N938">
        <v>35.86</v>
      </c>
      <c r="O938">
        <v>0</v>
      </c>
      <c r="Q938">
        <v>2.6070000000000002</v>
      </c>
      <c r="R938">
        <v>97.393000000000001</v>
      </c>
      <c r="S938">
        <v>2.6070000000000002</v>
      </c>
      <c r="T938">
        <v>555.67999999999995</v>
      </c>
      <c r="U938">
        <v>0</v>
      </c>
      <c r="X938">
        <v>-3</v>
      </c>
    </row>
    <row r="939" spans="1:25" x14ac:dyDescent="0.25">
      <c r="A939" t="s">
        <v>112</v>
      </c>
      <c r="B939" t="s">
        <v>41</v>
      </c>
      <c r="C939" t="s">
        <v>35</v>
      </c>
      <c r="D939">
        <v>2005</v>
      </c>
      <c r="E939">
        <v>4268363</v>
      </c>
      <c r="F939">
        <v>190691514722</v>
      </c>
      <c r="G939">
        <v>38.22</v>
      </c>
      <c r="H939">
        <v>38.22</v>
      </c>
      <c r="I939">
        <v>0</v>
      </c>
      <c r="K939">
        <v>0.96</v>
      </c>
      <c r="M939">
        <v>0</v>
      </c>
      <c r="N939">
        <v>37.26</v>
      </c>
      <c r="O939">
        <v>0</v>
      </c>
      <c r="Q939">
        <v>2.512</v>
      </c>
      <c r="R939">
        <v>97.488</v>
      </c>
      <c r="S939">
        <v>2.512</v>
      </c>
      <c r="T939">
        <v>545.53</v>
      </c>
      <c r="U939">
        <v>0</v>
      </c>
      <c r="X939">
        <v>0</v>
      </c>
    </row>
    <row r="940" spans="1:25" x14ac:dyDescent="0.25">
      <c r="A940" t="s">
        <v>112</v>
      </c>
      <c r="B940" t="s">
        <v>41</v>
      </c>
      <c r="C940" t="s">
        <v>35</v>
      </c>
      <c r="D940">
        <v>2006</v>
      </c>
      <c r="E940">
        <v>4407064</v>
      </c>
      <c r="F940">
        <v>211578605777</v>
      </c>
      <c r="G940">
        <v>39.49</v>
      </c>
      <c r="H940">
        <v>39.49</v>
      </c>
      <c r="I940">
        <v>0</v>
      </c>
      <c r="K940">
        <v>0.95</v>
      </c>
      <c r="M940">
        <v>0</v>
      </c>
      <c r="N940">
        <v>38.54</v>
      </c>
      <c r="O940">
        <v>0</v>
      </c>
      <c r="Q940">
        <v>2.4060000000000001</v>
      </c>
      <c r="R940">
        <v>97.593999999999994</v>
      </c>
      <c r="S940">
        <v>2.4060000000000001</v>
      </c>
      <c r="T940">
        <v>539.38</v>
      </c>
      <c r="U940">
        <v>0</v>
      </c>
      <c r="X940">
        <v>-1</v>
      </c>
    </row>
    <row r="941" spans="1:25" x14ac:dyDescent="0.25">
      <c r="A941" t="s">
        <v>112</v>
      </c>
      <c r="B941" t="s">
        <v>41</v>
      </c>
      <c r="C941" t="s">
        <v>35</v>
      </c>
      <c r="D941">
        <v>2007</v>
      </c>
      <c r="E941">
        <v>4596516</v>
      </c>
      <c r="F941">
        <v>237920174358</v>
      </c>
      <c r="G941">
        <v>41.13</v>
      </c>
      <c r="H941">
        <v>41.13</v>
      </c>
      <c r="I941">
        <v>0</v>
      </c>
      <c r="K941">
        <v>0.99</v>
      </c>
      <c r="M941">
        <v>0</v>
      </c>
      <c r="N941">
        <v>40.14</v>
      </c>
      <c r="O941">
        <v>0</v>
      </c>
      <c r="Q941">
        <v>2.407</v>
      </c>
      <c r="R941">
        <v>97.593000000000004</v>
      </c>
      <c r="S941">
        <v>2.407</v>
      </c>
      <c r="T941">
        <v>537.80999999999995</v>
      </c>
      <c r="U941">
        <v>0</v>
      </c>
      <c r="X941">
        <v>4.2</v>
      </c>
    </row>
    <row r="942" spans="1:25" x14ac:dyDescent="0.25">
      <c r="A942" t="s">
        <v>112</v>
      </c>
      <c r="B942" t="s">
        <v>41</v>
      </c>
      <c r="C942" t="s">
        <v>35</v>
      </c>
      <c r="D942">
        <v>2008</v>
      </c>
      <c r="E942">
        <v>4806742</v>
      </c>
      <c r="F942">
        <v>252508208683</v>
      </c>
      <c r="G942">
        <v>41.67</v>
      </c>
      <c r="H942">
        <v>41.67</v>
      </c>
      <c r="I942">
        <v>0</v>
      </c>
      <c r="K942">
        <v>1.04</v>
      </c>
      <c r="M942">
        <v>0</v>
      </c>
      <c r="N942">
        <v>40.630000000000003</v>
      </c>
      <c r="O942">
        <v>0</v>
      </c>
      <c r="Q942">
        <v>2.496</v>
      </c>
      <c r="R942">
        <v>97.504000000000005</v>
      </c>
      <c r="S942">
        <v>2.496</v>
      </c>
      <c r="T942">
        <v>534.20000000000005</v>
      </c>
      <c r="U942">
        <v>0</v>
      </c>
      <c r="X942">
        <v>5.0999999999999996</v>
      </c>
    </row>
    <row r="943" spans="1:25" x14ac:dyDescent="0.25">
      <c r="A943" t="s">
        <v>112</v>
      </c>
      <c r="B943" t="s">
        <v>41</v>
      </c>
      <c r="C943" t="s">
        <v>35</v>
      </c>
      <c r="D943">
        <v>2009</v>
      </c>
      <c r="E943">
        <v>4968574</v>
      </c>
      <c r="F943">
        <v>256114472232</v>
      </c>
      <c r="G943">
        <v>41.8</v>
      </c>
      <c r="H943">
        <v>41.8</v>
      </c>
      <c r="I943">
        <v>0</v>
      </c>
      <c r="K943">
        <v>1.05</v>
      </c>
      <c r="M943">
        <v>0</v>
      </c>
      <c r="N943">
        <v>40.75</v>
      </c>
      <c r="O943">
        <v>0</v>
      </c>
      <c r="Q943">
        <v>2.512</v>
      </c>
      <c r="R943">
        <v>97.488</v>
      </c>
      <c r="S943">
        <v>2.512</v>
      </c>
      <c r="T943">
        <v>533.49</v>
      </c>
      <c r="U943">
        <v>0</v>
      </c>
      <c r="X943">
        <v>1</v>
      </c>
    </row>
    <row r="944" spans="1:25" x14ac:dyDescent="0.25">
      <c r="A944" t="s">
        <v>112</v>
      </c>
      <c r="B944" t="s">
        <v>41</v>
      </c>
      <c r="C944" t="s">
        <v>35</v>
      </c>
      <c r="D944">
        <v>2010</v>
      </c>
      <c r="E944">
        <v>5077020</v>
      </c>
      <c r="F944">
        <v>297586792174</v>
      </c>
      <c r="G944">
        <v>45.36</v>
      </c>
      <c r="H944">
        <v>45.36</v>
      </c>
      <c r="I944">
        <v>0</v>
      </c>
      <c r="K944">
        <v>1.18</v>
      </c>
      <c r="M944">
        <v>0</v>
      </c>
      <c r="N944">
        <v>44.18</v>
      </c>
      <c r="O944">
        <v>0</v>
      </c>
      <c r="Q944">
        <v>2.601</v>
      </c>
      <c r="R944">
        <v>97.399000000000001</v>
      </c>
      <c r="S944">
        <v>2.601</v>
      </c>
      <c r="T944">
        <v>539.67999999999995</v>
      </c>
      <c r="U944">
        <v>0</v>
      </c>
      <c r="X944">
        <v>12.4</v>
      </c>
    </row>
    <row r="945" spans="1:25" x14ac:dyDescent="0.25">
      <c r="A945" t="s">
        <v>112</v>
      </c>
      <c r="B945" t="s">
        <v>41</v>
      </c>
      <c r="C945" t="s">
        <v>35</v>
      </c>
      <c r="D945">
        <v>2011</v>
      </c>
      <c r="E945">
        <v>5182242</v>
      </c>
      <c r="F945">
        <v>319718127421</v>
      </c>
      <c r="G945">
        <v>46</v>
      </c>
      <c r="H945">
        <v>46</v>
      </c>
      <c r="I945">
        <v>0</v>
      </c>
      <c r="K945">
        <v>1.2</v>
      </c>
      <c r="M945">
        <v>0</v>
      </c>
      <c r="N945">
        <v>44.8</v>
      </c>
      <c r="O945">
        <v>0</v>
      </c>
      <c r="Q945">
        <v>2.609</v>
      </c>
      <c r="R945">
        <v>97.391000000000005</v>
      </c>
      <c r="S945">
        <v>2.609</v>
      </c>
      <c r="T945">
        <v>538.04</v>
      </c>
      <c r="U945">
        <v>0</v>
      </c>
      <c r="X945">
        <v>1.7</v>
      </c>
    </row>
    <row r="946" spans="1:25" x14ac:dyDescent="0.25">
      <c r="A946" t="s">
        <v>112</v>
      </c>
      <c r="B946" t="s">
        <v>41</v>
      </c>
      <c r="C946" t="s">
        <v>35</v>
      </c>
      <c r="D946">
        <v>2012</v>
      </c>
      <c r="E946">
        <v>5293345</v>
      </c>
      <c r="F946">
        <v>333899221028</v>
      </c>
      <c r="G946">
        <v>46.94</v>
      </c>
      <c r="H946">
        <v>46.94</v>
      </c>
      <c r="I946">
        <v>0</v>
      </c>
      <c r="K946">
        <v>1.27</v>
      </c>
      <c r="M946">
        <v>0</v>
      </c>
      <c r="N946">
        <v>45.67</v>
      </c>
      <c r="O946">
        <v>0</v>
      </c>
      <c r="Q946">
        <v>2.706</v>
      </c>
      <c r="R946">
        <v>97.293999999999997</v>
      </c>
      <c r="S946">
        <v>2.706</v>
      </c>
      <c r="T946">
        <v>525.57000000000005</v>
      </c>
      <c r="U946">
        <v>0</v>
      </c>
      <c r="X946">
        <v>5.8</v>
      </c>
    </row>
    <row r="947" spans="1:25" x14ac:dyDescent="0.25">
      <c r="A947" t="s">
        <v>112</v>
      </c>
      <c r="B947" t="s">
        <v>41</v>
      </c>
      <c r="C947" t="s">
        <v>35</v>
      </c>
      <c r="D947">
        <v>2013</v>
      </c>
      <c r="E947">
        <v>5385589</v>
      </c>
      <c r="F947">
        <v>349985256634</v>
      </c>
      <c r="G947">
        <v>47.97</v>
      </c>
      <c r="H947">
        <v>47.97</v>
      </c>
      <c r="I947">
        <v>0</v>
      </c>
      <c r="K947">
        <v>1.69</v>
      </c>
      <c r="M947">
        <v>0</v>
      </c>
      <c r="N947">
        <v>46.28</v>
      </c>
      <c r="O947">
        <v>0</v>
      </c>
      <c r="Q947">
        <v>3.5230000000000001</v>
      </c>
      <c r="R947">
        <v>96.477000000000004</v>
      </c>
      <c r="S947">
        <v>3.5230000000000001</v>
      </c>
      <c r="T947">
        <v>507.61</v>
      </c>
      <c r="U947">
        <v>0</v>
      </c>
      <c r="X947">
        <v>33.1</v>
      </c>
    </row>
    <row r="948" spans="1:25" x14ac:dyDescent="0.25">
      <c r="A948" t="s">
        <v>112</v>
      </c>
      <c r="B948" t="s">
        <v>41</v>
      </c>
      <c r="C948" t="s">
        <v>35</v>
      </c>
      <c r="D948">
        <v>2014</v>
      </c>
      <c r="E948">
        <v>5457899</v>
      </c>
      <c r="F948">
        <v>363759075569</v>
      </c>
      <c r="G948">
        <v>49.3</v>
      </c>
      <c r="H948">
        <v>49.3</v>
      </c>
      <c r="I948">
        <v>0</v>
      </c>
      <c r="K948">
        <v>1.38</v>
      </c>
      <c r="M948">
        <v>0</v>
      </c>
      <c r="N948">
        <v>47.92</v>
      </c>
      <c r="O948">
        <v>0</v>
      </c>
      <c r="Q948">
        <v>2.7989999999999999</v>
      </c>
      <c r="R948">
        <v>97.200999999999993</v>
      </c>
      <c r="S948">
        <v>2.7989999999999999</v>
      </c>
      <c r="T948">
        <v>506.9</v>
      </c>
      <c r="U948">
        <v>0</v>
      </c>
      <c r="X948">
        <v>-18.3</v>
      </c>
    </row>
    <row r="949" spans="1:25" x14ac:dyDescent="0.25">
      <c r="A949" t="s">
        <v>112</v>
      </c>
      <c r="B949" t="s">
        <v>41</v>
      </c>
      <c r="C949" t="s">
        <v>35</v>
      </c>
      <c r="D949">
        <v>2015</v>
      </c>
      <c r="E949">
        <v>5525343</v>
      </c>
      <c r="F949">
        <v>374587437267</v>
      </c>
      <c r="G949">
        <v>50.28</v>
      </c>
      <c r="H949">
        <v>50.28</v>
      </c>
      <c r="I949">
        <v>0</v>
      </c>
      <c r="K949">
        <v>1.46</v>
      </c>
      <c r="M949">
        <v>0</v>
      </c>
      <c r="N949">
        <v>48.82</v>
      </c>
      <c r="O949">
        <v>0</v>
      </c>
      <c r="Q949">
        <v>2.9039999999999999</v>
      </c>
      <c r="R949">
        <v>97.096000000000004</v>
      </c>
      <c r="S949">
        <v>2.9039999999999999</v>
      </c>
      <c r="T949">
        <v>506.96</v>
      </c>
      <c r="U949">
        <v>0</v>
      </c>
      <c r="X949">
        <v>5.8</v>
      </c>
    </row>
    <row r="950" spans="1:25" x14ac:dyDescent="0.25">
      <c r="A950" t="s">
        <v>112</v>
      </c>
      <c r="B950" t="s">
        <v>41</v>
      </c>
      <c r="C950" t="s">
        <v>35</v>
      </c>
      <c r="D950">
        <v>2016</v>
      </c>
      <c r="E950">
        <v>5577936</v>
      </c>
      <c r="F950">
        <v>388078809982</v>
      </c>
      <c r="G950">
        <v>51.59</v>
      </c>
      <c r="H950">
        <v>51.59</v>
      </c>
      <c r="I950">
        <v>0.09</v>
      </c>
      <c r="K950">
        <v>1.5</v>
      </c>
      <c r="M950">
        <v>0</v>
      </c>
      <c r="N950">
        <v>50.09</v>
      </c>
      <c r="O950">
        <v>0.17399999999999999</v>
      </c>
      <c r="Q950">
        <v>2.9079999999999999</v>
      </c>
      <c r="R950">
        <v>97.091999999999999</v>
      </c>
      <c r="S950">
        <v>2.9079999999999999</v>
      </c>
      <c r="T950">
        <v>506.49</v>
      </c>
      <c r="U950">
        <v>0.04</v>
      </c>
      <c r="X950">
        <v>2.7</v>
      </c>
    </row>
    <row r="951" spans="1:25" x14ac:dyDescent="0.25">
      <c r="A951" t="s">
        <v>112</v>
      </c>
      <c r="B951" t="s">
        <v>41</v>
      </c>
      <c r="C951" t="s">
        <v>35</v>
      </c>
      <c r="D951">
        <v>2017</v>
      </c>
      <c r="E951">
        <v>5604087</v>
      </c>
      <c r="F951">
        <v>405715948493</v>
      </c>
      <c r="G951">
        <v>52.28</v>
      </c>
      <c r="H951">
        <v>52.28</v>
      </c>
      <c r="I951">
        <v>0.12</v>
      </c>
      <c r="K951">
        <v>1.51</v>
      </c>
      <c r="M951">
        <v>0</v>
      </c>
      <c r="N951">
        <v>50.77</v>
      </c>
      <c r="O951">
        <v>0.23</v>
      </c>
      <c r="Q951">
        <v>2.8879999999999999</v>
      </c>
      <c r="R951">
        <v>97.111999999999995</v>
      </c>
      <c r="S951">
        <v>2.8879999999999999</v>
      </c>
      <c r="T951">
        <v>507.27</v>
      </c>
      <c r="U951">
        <v>0.05</v>
      </c>
      <c r="V951">
        <v>33.299999999999997</v>
      </c>
      <c r="X951">
        <v>0.7</v>
      </c>
    </row>
    <row r="952" spans="1:25" x14ac:dyDescent="0.25">
      <c r="A952" t="s">
        <v>112</v>
      </c>
      <c r="B952" t="s">
        <v>41</v>
      </c>
      <c r="C952" t="s">
        <v>35</v>
      </c>
      <c r="D952">
        <v>2018</v>
      </c>
      <c r="E952">
        <v>5634366</v>
      </c>
      <c r="F952">
        <v>420221993120</v>
      </c>
      <c r="G952">
        <v>52.97</v>
      </c>
      <c r="H952">
        <v>52.97</v>
      </c>
      <c r="I952">
        <v>0.14000000000000001</v>
      </c>
      <c r="K952">
        <v>1.49</v>
      </c>
      <c r="M952">
        <v>0</v>
      </c>
      <c r="N952">
        <v>51.48</v>
      </c>
      <c r="O952">
        <v>0.26400000000000001</v>
      </c>
      <c r="Q952">
        <v>2.8130000000000002</v>
      </c>
      <c r="R952">
        <v>97.186999999999998</v>
      </c>
      <c r="S952">
        <v>2.8130000000000002</v>
      </c>
      <c r="T952">
        <v>507.08</v>
      </c>
      <c r="U952">
        <v>0.06</v>
      </c>
      <c r="V952">
        <v>16.7</v>
      </c>
      <c r="X952">
        <v>-1.3</v>
      </c>
    </row>
    <row r="953" spans="1:25" x14ac:dyDescent="0.25">
      <c r="A953" t="s">
        <v>112</v>
      </c>
      <c r="B953" t="s">
        <v>41</v>
      </c>
      <c r="C953" t="s">
        <v>35</v>
      </c>
      <c r="D953">
        <v>2019</v>
      </c>
      <c r="E953">
        <v>5669562</v>
      </c>
      <c r="F953">
        <v>425816263950</v>
      </c>
      <c r="G953">
        <v>54.14</v>
      </c>
      <c r="H953">
        <v>54.14</v>
      </c>
      <c r="I953">
        <v>0.19</v>
      </c>
      <c r="K953">
        <v>1.51</v>
      </c>
      <c r="M953">
        <v>0</v>
      </c>
      <c r="N953">
        <v>52.63</v>
      </c>
      <c r="O953">
        <v>0.35099999999999998</v>
      </c>
      <c r="Q953">
        <v>2.7890000000000001</v>
      </c>
      <c r="R953">
        <v>97.210999999999999</v>
      </c>
      <c r="S953">
        <v>2.7890000000000001</v>
      </c>
      <c r="T953">
        <v>506.1</v>
      </c>
      <c r="U953">
        <v>0.09</v>
      </c>
      <c r="V953">
        <v>35.700000000000003</v>
      </c>
      <c r="X953">
        <v>1.3</v>
      </c>
    </row>
    <row r="954" spans="1:25" x14ac:dyDescent="0.25">
      <c r="A954" t="s">
        <v>112</v>
      </c>
      <c r="B954" t="s">
        <v>41</v>
      </c>
      <c r="C954" t="s">
        <v>35</v>
      </c>
      <c r="D954">
        <v>2020</v>
      </c>
      <c r="E954">
        <v>5620151</v>
      </c>
      <c r="F954">
        <v>409204971045</v>
      </c>
      <c r="G954">
        <v>53.07</v>
      </c>
      <c r="H954">
        <v>53.07</v>
      </c>
      <c r="I954">
        <v>0.3</v>
      </c>
      <c r="K954">
        <v>1.49</v>
      </c>
      <c r="M954">
        <v>0</v>
      </c>
      <c r="N954">
        <v>51.58</v>
      </c>
      <c r="O954">
        <v>0.56499999999999995</v>
      </c>
      <c r="Q954">
        <v>2.8079999999999998</v>
      </c>
      <c r="R954">
        <v>97.191999999999993</v>
      </c>
      <c r="S954">
        <v>2.8079999999999998</v>
      </c>
      <c r="T954">
        <v>504.62</v>
      </c>
      <c r="U954">
        <v>0.14000000000000001</v>
      </c>
      <c r="V954">
        <v>57.9</v>
      </c>
      <c r="X954">
        <v>-1.3</v>
      </c>
    </row>
    <row r="955" spans="1:25" x14ac:dyDescent="0.25">
      <c r="A955" t="s">
        <v>112</v>
      </c>
      <c r="B955" t="s">
        <v>41</v>
      </c>
      <c r="C955" t="s">
        <v>35</v>
      </c>
      <c r="D955">
        <v>2021</v>
      </c>
      <c r="E955">
        <v>5546291</v>
      </c>
      <c r="F955">
        <v>445551993008</v>
      </c>
      <c r="G955">
        <v>55.79</v>
      </c>
      <c r="H955">
        <v>55.79</v>
      </c>
      <c r="I955">
        <v>0.4</v>
      </c>
      <c r="K955">
        <v>1.62</v>
      </c>
      <c r="M955">
        <v>0</v>
      </c>
      <c r="N955">
        <v>54.17</v>
      </c>
      <c r="O955">
        <v>0.71699999999999997</v>
      </c>
      <c r="Q955">
        <v>2.9039999999999999</v>
      </c>
      <c r="R955">
        <v>97.096000000000004</v>
      </c>
      <c r="S955">
        <v>2.9039999999999999</v>
      </c>
      <c r="T955">
        <v>506.18</v>
      </c>
      <c r="U955">
        <v>0.18</v>
      </c>
      <c r="V955">
        <v>33.299999999999997</v>
      </c>
      <c r="X955">
        <v>8.6999999999999993</v>
      </c>
    </row>
    <row r="956" spans="1:25" x14ac:dyDescent="0.25">
      <c r="A956" t="s">
        <v>112</v>
      </c>
      <c r="B956" t="s">
        <v>41</v>
      </c>
      <c r="C956" t="s">
        <v>35</v>
      </c>
      <c r="D956">
        <v>2022</v>
      </c>
      <c r="E956">
        <v>5649888</v>
      </c>
      <c r="F956">
        <v>461801118473</v>
      </c>
      <c r="G956">
        <v>56.92</v>
      </c>
      <c r="H956">
        <v>57.1</v>
      </c>
      <c r="I956">
        <v>0.67</v>
      </c>
      <c r="K956">
        <v>2.33</v>
      </c>
      <c r="M956">
        <v>0</v>
      </c>
      <c r="N956">
        <v>54.59</v>
      </c>
      <c r="O956">
        <v>1.177</v>
      </c>
      <c r="Q956">
        <v>4.093</v>
      </c>
      <c r="R956">
        <v>95.906999999999996</v>
      </c>
      <c r="S956">
        <v>4.093</v>
      </c>
      <c r="T956">
        <v>504.22</v>
      </c>
      <c r="U956">
        <v>0.3</v>
      </c>
      <c r="V956">
        <v>67.5</v>
      </c>
      <c r="X956">
        <v>43.8</v>
      </c>
      <c r="Y956" t="s">
        <v>113</v>
      </c>
    </row>
    <row r="957" spans="1:25" x14ac:dyDescent="0.25">
      <c r="A957" t="s">
        <v>112</v>
      </c>
      <c r="B957" t="s">
        <v>41</v>
      </c>
      <c r="C957" t="s">
        <v>35</v>
      </c>
      <c r="D957">
        <v>2023</v>
      </c>
      <c r="E957">
        <v>5789092</v>
      </c>
      <c r="G957">
        <v>57.32</v>
      </c>
      <c r="H957">
        <v>57.4</v>
      </c>
      <c r="I957">
        <v>0.94</v>
      </c>
      <c r="K957">
        <v>2.6</v>
      </c>
      <c r="M957">
        <v>0</v>
      </c>
      <c r="N957">
        <v>54.72</v>
      </c>
      <c r="O957">
        <v>1.64</v>
      </c>
      <c r="Q957">
        <v>4.5359999999999996</v>
      </c>
      <c r="R957">
        <v>95.463999999999999</v>
      </c>
      <c r="S957">
        <v>4.5359999999999996</v>
      </c>
      <c r="T957">
        <v>500.87</v>
      </c>
      <c r="U957">
        <v>0.42</v>
      </c>
      <c r="V957">
        <v>40.299999999999997</v>
      </c>
      <c r="X957">
        <v>11.6</v>
      </c>
    </row>
    <row r="958" spans="1:25" x14ac:dyDescent="0.25">
      <c r="A958" t="s">
        <v>112</v>
      </c>
      <c r="B958" t="s">
        <v>41</v>
      </c>
      <c r="C958" t="s">
        <v>35</v>
      </c>
      <c r="D958">
        <v>2024</v>
      </c>
      <c r="E958">
        <v>5832387</v>
      </c>
      <c r="G958">
        <v>59.61</v>
      </c>
      <c r="H958">
        <v>59.63</v>
      </c>
      <c r="I958">
        <v>1.28</v>
      </c>
      <c r="K958">
        <v>2.94</v>
      </c>
      <c r="M958">
        <v>0</v>
      </c>
      <c r="N958">
        <v>56.67</v>
      </c>
      <c r="O958">
        <v>2.1469999999999998</v>
      </c>
      <c r="Q958">
        <v>4.9320000000000004</v>
      </c>
      <c r="R958">
        <v>95.067999999999998</v>
      </c>
      <c r="S958">
        <v>4.9320000000000004</v>
      </c>
      <c r="T958">
        <v>498.74</v>
      </c>
      <c r="U958">
        <v>0.57999999999999996</v>
      </c>
      <c r="V958">
        <v>36.200000000000003</v>
      </c>
      <c r="X958">
        <v>13.1</v>
      </c>
    </row>
    <row r="959" spans="1:25" x14ac:dyDescent="0.25">
      <c r="A959" t="s">
        <v>112</v>
      </c>
      <c r="B959" t="s">
        <v>41</v>
      </c>
      <c r="C959" t="s">
        <v>35</v>
      </c>
      <c r="D959">
        <v>2025</v>
      </c>
      <c r="E959">
        <v>5870749</v>
      </c>
      <c r="G959">
        <v>60.15</v>
      </c>
      <c r="H959">
        <v>60.44</v>
      </c>
      <c r="I959">
        <v>1.64</v>
      </c>
      <c r="K959">
        <v>3.3</v>
      </c>
      <c r="N959">
        <v>56.85</v>
      </c>
      <c r="O959">
        <v>2.7269999999999999</v>
      </c>
      <c r="Q959">
        <v>5.4859999999999998</v>
      </c>
      <c r="R959">
        <v>94.513999999999996</v>
      </c>
      <c r="S959">
        <v>5.4859999999999998</v>
      </c>
      <c r="T959">
        <v>497.09</v>
      </c>
      <c r="U959">
        <v>0.74</v>
      </c>
      <c r="V959">
        <v>28.1</v>
      </c>
      <c r="X959">
        <v>12.2</v>
      </c>
    </row>
    <row r="960" spans="1:25" x14ac:dyDescent="0.25">
      <c r="A960" t="s">
        <v>114</v>
      </c>
      <c r="B960" t="s">
        <v>41</v>
      </c>
      <c r="C960" t="s">
        <v>35</v>
      </c>
      <c r="D960">
        <v>2000</v>
      </c>
      <c r="E960">
        <v>46766660</v>
      </c>
      <c r="F960">
        <v>1086261690312</v>
      </c>
      <c r="G960">
        <v>290.45</v>
      </c>
      <c r="H960">
        <v>290.45</v>
      </c>
      <c r="I960">
        <v>0.01</v>
      </c>
      <c r="J960">
        <v>0.02</v>
      </c>
      <c r="K960">
        <v>4.12</v>
      </c>
      <c r="L960">
        <v>4.01</v>
      </c>
      <c r="M960">
        <v>108.96</v>
      </c>
      <c r="N960">
        <v>177.37</v>
      </c>
      <c r="O960">
        <v>3.0000000000000001E-3</v>
      </c>
      <c r="P960">
        <v>7.0000000000000001E-3</v>
      </c>
      <c r="Q960">
        <v>1.4179999999999999</v>
      </c>
      <c r="R960">
        <v>61.067</v>
      </c>
      <c r="S960">
        <v>38.933</v>
      </c>
      <c r="T960">
        <v>461.59</v>
      </c>
      <c r="U960">
        <v>0.01</v>
      </c>
    </row>
    <row r="961" spans="1:24" x14ac:dyDescent="0.25">
      <c r="A961" t="s">
        <v>114</v>
      </c>
      <c r="B961" t="s">
        <v>41</v>
      </c>
      <c r="C961" t="s">
        <v>35</v>
      </c>
      <c r="D961">
        <v>2001</v>
      </c>
      <c r="E961">
        <v>47043467</v>
      </c>
      <c r="F961">
        <v>1127616204375</v>
      </c>
      <c r="G961">
        <v>309.88</v>
      </c>
      <c r="H961">
        <v>309.88</v>
      </c>
      <c r="I961">
        <v>0.01</v>
      </c>
      <c r="J961">
        <v>0.01</v>
      </c>
      <c r="K961">
        <v>2.44</v>
      </c>
      <c r="L961">
        <v>2.33</v>
      </c>
      <c r="M961">
        <v>112.13</v>
      </c>
      <c r="N961">
        <v>195.31</v>
      </c>
      <c r="O961">
        <v>3.0000000000000001E-3</v>
      </c>
      <c r="P961">
        <v>3.0000000000000001E-3</v>
      </c>
      <c r="Q961">
        <v>0.78700000000000003</v>
      </c>
      <c r="R961">
        <v>63.027999999999999</v>
      </c>
      <c r="S961">
        <v>36.972000000000001</v>
      </c>
      <c r="T961">
        <v>475.31</v>
      </c>
      <c r="U961">
        <v>0.01</v>
      </c>
      <c r="V961">
        <v>0</v>
      </c>
      <c r="W961">
        <v>-50</v>
      </c>
      <c r="X961">
        <v>-40.799999999999997</v>
      </c>
    </row>
    <row r="962" spans="1:24" x14ac:dyDescent="0.25">
      <c r="A962" t="s">
        <v>114</v>
      </c>
      <c r="B962" t="s">
        <v>41</v>
      </c>
      <c r="C962" t="s">
        <v>35</v>
      </c>
      <c r="D962">
        <v>2002</v>
      </c>
      <c r="E962">
        <v>47299118</v>
      </c>
      <c r="F962">
        <v>1203066586464</v>
      </c>
      <c r="G962">
        <v>332.01</v>
      </c>
      <c r="H962">
        <v>332.01</v>
      </c>
      <c r="I962">
        <v>0.01</v>
      </c>
      <c r="J962">
        <v>0.01</v>
      </c>
      <c r="K962">
        <v>3.43</v>
      </c>
      <c r="L962">
        <v>3.23</v>
      </c>
      <c r="M962">
        <v>119.1</v>
      </c>
      <c r="N962">
        <v>209.48</v>
      </c>
      <c r="O962">
        <v>3.0000000000000001E-3</v>
      </c>
      <c r="P962">
        <v>3.0000000000000001E-3</v>
      </c>
      <c r="Q962">
        <v>1.0329999999999999</v>
      </c>
      <c r="R962">
        <v>63.094000000000001</v>
      </c>
      <c r="S962">
        <v>36.905999999999999</v>
      </c>
      <c r="T962">
        <v>472.79</v>
      </c>
      <c r="U962">
        <v>0.01</v>
      </c>
      <c r="V962">
        <v>0</v>
      </c>
      <c r="W962">
        <v>0</v>
      </c>
      <c r="X962">
        <v>40.6</v>
      </c>
    </row>
    <row r="963" spans="1:24" x14ac:dyDescent="0.25">
      <c r="A963" t="s">
        <v>114</v>
      </c>
      <c r="B963" t="s">
        <v>41</v>
      </c>
      <c r="C963" t="s">
        <v>35</v>
      </c>
      <c r="D963">
        <v>2003</v>
      </c>
      <c r="E963">
        <v>47514158</v>
      </c>
      <c r="F963">
        <v>1229830453921</v>
      </c>
      <c r="G963">
        <v>347.77</v>
      </c>
      <c r="H963">
        <v>347.77</v>
      </c>
      <c r="I963">
        <v>0.01</v>
      </c>
      <c r="J963">
        <v>0.02</v>
      </c>
      <c r="K963">
        <v>5.1100000000000003</v>
      </c>
      <c r="L963">
        <v>4.8899999999999997</v>
      </c>
      <c r="M963">
        <v>129.66999999999999</v>
      </c>
      <c r="N963">
        <v>212.99</v>
      </c>
      <c r="O963">
        <v>3.0000000000000001E-3</v>
      </c>
      <c r="P963">
        <v>6.0000000000000001E-3</v>
      </c>
      <c r="Q963">
        <v>1.4690000000000001</v>
      </c>
      <c r="R963">
        <v>61.244999999999997</v>
      </c>
      <c r="S963">
        <v>38.756</v>
      </c>
      <c r="T963">
        <v>457.89</v>
      </c>
      <c r="U963">
        <v>0.01</v>
      </c>
      <c r="V963">
        <v>0</v>
      </c>
      <c r="W963">
        <v>100</v>
      </c>
      <c r="X963">
        <v>49</v>
      </c>
    </row>
    <row r="964" spans="1:24" x14ac:dyDescent="0.25">
      <c r="A964" t="s">
        <v>114</v>
      </c>
      <c r="B964" t="s">
        <v>41</v>
      </c>
      <c r="C964" t="s">
        <v>35</v>
      </c>
      <c r="D964">
        <v>2004</v>
      </c>
      <c r="E964">
        <v>47697076</v>
      </c>
      <c r="F964">
        <v>1281243847324</v>
      </c>
      <c r="G964">
        <v>368.02</v>
      </c>
      <c r="H964">
        <v>368.02</v>
      </c>
      <c r="I964">
        <v>0.01</v>
      </c>
      <c r="J964">
        <v>0.05</v>
      </c>
      <c r="K964">
        <v>4.66</v>
      </c>
      <c r="L964">
        <v>4.3099999999999996</v>
      </c>
      <c r="M964">
        <v>130.71</v>
      </c>
      <c r="N964">
        <v>232.65</v>
      </c>
      <c r="O964">
        <v>3.0000000000000001E-3</v>
      </c>
      <c r="P964">
        <v>1.4E-2</v>
      </c>
      <c r="Q964">
        <v>1.266</v>
      </c>
      <c r="R964">
        <v>63.216999999999999</v>
      </c>
      <c r="S964">
        <v>36.783000000000001</v>
      </c>
      <c r="T964">
        <v>462.61</v>
      </c>
      <c r="U964">
        <v>0.03</v>
      </c>
      <c r="V964">
        <v>0</v>
      </c>
      <c r="W964">
        <v>150</v>
      </c>
      <c r="X964">
        <v>-8.8000000000000007</v>
      </c>
    </row>
    <row r="965" spans="1:24" x14ac:dyDescent="0.25">
      <c r="A965" t="s">
        <v>114</v>
      </c>
      <c r="B965" t="s">
        <v>41</v>
      </c>
      <c r="C965" t="s">
        <v>35</v>
      </c>
      <c r="D965">
        <v>2005</v>
      </c>
      <c r="E965">
        <v>47851646</v>
      </c>
      <c r="F965">
        <v>1322354601142</v>
      </c>
      <c r="G965">
        <v>389.47</v>
      </c>
      <c r="H965">
        <v>389.47</v>
      </c>
      <c r="I965">
        <v>0.01</v>
      </c>
      <c r="J965">
        <v>0.13</v>
      </c>
      <c r="K965">
        <v>4.07</v>
      </c>
      <c r="L965">
        <v>3.67</v>
      </c>
      <c r="M965">
        <v>146.78</v>
      </c>
      <c r="N965">
        <v>238.62</v>
      </c>
      <c r="O965">
        <v>3.0000000000000001E-3</v>
      </c>
      <c r="P965">
        <v>3.3000000000000002E-2</v>
      </c>
      <c r="Q965">
        <v>1.0449999999999999</v>
      </c>
      <c r="R965">
        <v>61.268000000000001</v>
      </c>
      <c r="S965">
        <v>38.731999999999999</v>
      </c>
      <c r="T965">
        <v>449.59</v>
      </c>
      <c r="U965">
        <v>0.06</v>
      </c>
      <c r="V965">
        <v>0</v>
      </c>
      <c r="W965">
        <v>160</v>
      </c>
      <c r="X965">
        <v>-12.7</v>
      </c>
    </row>
    <row r="966" spans="1:24" x14ac:dyDescent="0.25">
      <c r="A966" t="s">
        <v>114</v>
      </c>
      <c r="B966" t="s">
        <v>41</v>
      </c>
      <c r="C966" t="s">
        <v>35</v>
      </c>
      <c r="D966">
        <v>2006</v>
      </c>
      <c r="E966">
        <v>48006518</v>
      </c>
      <c r="F966">
        <v>1381281470156</v>
      </c>
      <c r="G966">
        <v>402.99</v>
      </c>
      <c r="H966">
        <v>402.99</v>
      </c>
      <c r="I966">
        <v>0.03</v>
      </c>
      <c r="J966">
        <v>0.24</v>
      </c>
      <c r="K966">
        <v>3.98</v>
      </c>
      <c r="L966">
        <v>3.47</v>
      </c>
      <c r="M966">
        <v>148.75</v>
      </c>
      <c r="N966">
        <v>250.26</v>
      </c>
      <c r="O966">
        <v>7.0000000000000001E-3</v>
      </c>
      <c r="P966">
        <v>0.06</v>
      </c>
      <c r="Q966">
        <v>0.98799999999999999</v>
      </c>
      <c r="R966">
        <v>62.100999999999999</v>
      </c>
      <c r="S966">
        <v>37.899000000000001</v>
      </c>
      <c r="T966">
        <v>451.18</v>
      </c>
      <c r="U966">
        <v>0.12</v>
      </c>
      <c r="V966">
        <v>200</v>
      </c>
      <c r="W966">
        <v>84.6</v>
      </c>
      <c r="X966">
        <v>-2.2000000000000002</v>
      </c>
    </row>
    <row r="967" spans="1:24" x14ac:dyDescent="0.25">
      <c r="A967" t="s">
        <v>114</v>
      </c>
      <c r="B967" t="s">
        <v>41</v>
      </c>
      <c r="C967" t="s">
        <v>35</v>
      </c>
      <c r="D967">
        <v>2007</v>
      </c>
      <c r="E967">
        <v>48178122</v>
      </c>
      <c r="F967">
        <v>1446721509093</v>
      </c>
      <c r="G967">
        <v>425.41</v>
      </c>
      <c r="H967">
        <v>425.41</v>
      </c>
      <c r="I967">
        <v>7.0000000000000007E-2</v>
      </c>
      <c r="J967">
        <v>0.38</v>
      </c>
      <c r="K967">
        <v>4.46</v>
      </c>
      <c r="L967">
        <v>3.63</v>
      </c>
      <c r="M967">
        <v>142.94</v>
      </c>
      <c r="N967">
        <v>278.01</v>
      </c>
      <c r="O967">
        <v>1.6E-2</v>
      </c>
      <c r="P967">
        <v>8.8999999999999996E-2</v>
      </c>
      <c r="Q967">
        <v>1.048</v>
      </c>
      <c r="R967">
        <v>65.350999999999999</v>
      </c>
      <c r="S967">
        <v>34.649000000000001</v>
      </c>
      <c r="T967">
        <v>473.64</v>
      </c>
      <c r="U967">
        <v>0.2</v>
      </c>
      <c r="V967">
        <v>133.30000000000001</v>
      </c>
      <c r="W967">
        <v>58.3</v>
      </c>
      <c r="X967">
        <v>12.1</v>
      </c>
    </row>
    <row r="968" spans="1:24" x14ac:dyDescent="0.25">
      <c r="A968" t="s">
        <v>114</v>
      </c>
      <c r="B968" t="s">
        <v>41</v>
      </c>
      <c r="C968" t="s">
        <v>35</v>
      </c>
      <c r="D968">
        <v>2008</v>
      </c>
      <c r="E968">
        <v>48356485</v>
      </c>
      <c r="F968">
        <v>1477425172333</v>
      </c>
      <c r="G968">
        <v>442.61</v>
      </c>
      <c r="H968">
        <v>442.61</v>
      </c>
      <c r="I968">
        <v>0.28000000000000003</v>
      </c>
      <c r="J968">
        <v>0.44</v>
      </c>
      <c r="K968">
        <v>4.4400000000000004</v>
      </c>
      <c r="L968">
        <v>3.07</v>
      </c>
      <c r="M968">
        <v>150.96</v>
      </c>
      <c r="N968">
        <v>287.20999999999998</v>
      </c>
      <c r="O968">
        <v>6.3E-2</v>
      </c>
      <c r="P968">
        <v>9.9000000000000005E-2</v>
      </c>
      <c r="Q968">
        <v>1.0029999999999999</v>
      </c>
      <c r="R968">
        <v>64.89</v>
      </c>
      <c r="S968">
        <v>35.11</v>
      </c>
      <c r="T968">
        <v>477.26</v>
      </c>
      <c r="U968">
        <v>0.32</v>
      </c>
      <c r="V968">
        <v>300</v>
      </c>
      <c r="W968">
        <v>15.8</v>
      </c>
      <c r="X968">
        <v>-0.4</v>
      </c>
    </row>
    <row r="969" spans="1:24" x14ac:dyDescent="0.25">
      <c r="A969" t="s">
        <v>114</v>
      </c>
      <c r="B969" t="s">
        <v>41</v>
      </c>
      <c r="C969" t="s">
        <v>35</v>
      </c>
      <c r="D969">
        <v>2009</v>
      </c>
      <c r="E969">
        <v>48546690</v>
      </c>
      <c r="F969">
        <v>1477640571750</v>
      </c>
      <c r="G969">
        <v>452.45</v>
      </c>
      <c r="H969">
        <v>452.45</v>
      </c>
      <c r="I969">
        <v>0.56999999999999995</v>
      </c>
      <c r="J969">
        <v>0.69</v>
      </c>
      <c r="K969">
        <v>4.6100000000000003</v>
      </c>
      <c r="L969">
        <v>2.81</v>
      </c>
      <c r="M969">
        <v>147.77000000000001</v>
      </c>
      <c r="N969">
        <v>300.07</v>
      </c>
      <c r="O969">
        <v>0.126</v>
      </c>
      <c r="P969">
        <v>0.153</v>
      </c>
      <c r="Q969">
        <v>1.0189999999999999</v>
      </c>
      <c r="R969">
        <v>66.320999999999998</v>
      </c>
      <c r="S969">
        <v>33.679000000000002</v>
      </c>
      <c r="T969">
        <v>495.28</v>
      </c>
      <c r="U969">
        <v>0.56999999999999995</v>
      </c>
      <c r="V969">
        <v>103.6</v>
      </c>
      <c r="W969">
        <v>56.8</v>
      </c>
      <c r="X969">
        <v>3.8</v>
      </c>
    </row>
    <row r="970" spans="1:24" x14ac:dyDescent="0.25">
      <c r="A970" t="s">
        <v>114</v>
      </c>
      <c r="B970" t="s">
        <v>41</v>
      </c>
      <c r="C970" t="s">
        <v>35</v>
      </c>
      <c r="D970">
        <v>2010</v>
      </c>
      <c r="E970">
        <v>48769329</v>
      </c>
      <c r="F970">
        <v>1562822824921</v>
      </c>
      <c r="G970">
        <v>495.03</v>
      </c>
      <c r="H970">
        <v>495.03</v>
      </c>
      <c r="I970">
        <v>0.77</v>
      </c>
      <c r="J970">
        <v>0.82</v>
      </c>
      <c r="K970">
        <v>5.69</v>
      </c>
      <c r="L970">
        <v>3.68</v>
      </c>
      <c r="M970">
        <v>148.6</v>
      </c>
      <c r="N970">
        <v>340.74</v>
      </c>
      <c r="O970">
        <v>0.156</v>
      </c>
      <c r="P970">
        <v>0.16600000000000001</v>
      </c>
      <c r="Q970">
        <v>1.149</v>
      </c>
      <c r="R970">
        <v>68.831999999999994</v>
      </c>
      <c r="S970">
        <v>31.167999999999999</v>
      </c>
      <c r="T970">
        <v>500.21</v>
      </c>
      <c r="U970">
        <v>0.72</v>
      </c>
      <c r="V970">
        <v>35.1</v>
      </c>
      <c r="W970">
        <v>18.8</v>
      </c>
      <c r="X970">
        <v>23.4</v>
      </c>
    </row>
    <row r="971" spans="1:24" x14ac:dyDescent="0.25">
      <c r="A971" t="s">
        <v>114</v>
      </c>
      <c r="B971" t="s">
        <v>41</v>
      </c>
      <c r="C971" t="s">
        <v>35</v>
      </c>
      <c r="D971">
        <v>2011</v>
      </c>
      <c r="E971">
        <v>49127640</v>
      </c>
      <c r="F971">
        <v>1609219825000</v>
      </c>
      <c r="G971">
        <v>518.16</v>
      </c>
      <c r="H971">
        <v>518.16</v>
      </c>
      <c r="I971">
        <v>0.92</v>
      </c>
      <c r="J971">
        <v>0.86</v>
      </c>
      <c r="K971">
        <v>7.4</v>
      </c>
      <c r="L971">
        <v>4.5999999999999996</v>
      </c>
      <c r="M971">
        <v>154.72</v>
      </c>
      <c r="N971">
        <v>356.04</v>
      </c>
      <c r="O971">
        <v>0.17799999999999999</v>
      </c>
      <c r="P971">
        <v>0.16600000000000001</v>
      </c>
      <c r="Q971">
        <v>1.4279999999999999</v>
      </c>
      <c r="R971">
        <v>68.712000000000003</v>
      </c>
      <c r="S971">
        <v>31.288</v>
      </c>
      <c r="T971">
        <v>497.09</v>
      </c>
      <c r="U971">
        <v>0.8</v>
      </c>
      <c r="V971">
        <v>19.5</v>
      </c>
      <c r="W971">
        <v>4.9000000000000004</v>
      </c>
      <c r="X971">
        <v>30.1</v>
      </c>
    </row>
    <row r="972" spans="1:24" x14ac:dyDescent="0.25">
      <c r="A972" t="s">
        <v>114</v>
      </c>
      <c r="B972" t="s">
        <v>41</v>
      </c>
      <c r="C972" t="s">
        <v>35</v>
      </c>
      <c r="D972">
        <v>2012</v>
      </c>
      <c r="E972">
        <v>49599580</v>
      </c>
      <c r="F972">
        <v>1647889319531</v>
      </c>
      <c r="G972">
        <v>531.21</v>
      </c>
      <c r="H972">
        <v>531.21</v>
      </c>
      <c r="I972">
        <v>1.1299999999999999</v>
      </c>
      <c r="J972">
        <v>0.91</v>
      </c>
      <c r="K972">
        <v>8.17</v>
      </c>
      <c r="L972">
        <v>3.97</v>
      </c>
      <c r="M972">
        <v>150.33000000000001</v>
      </c>
      <c r="N972">
        <v>372.71</v>
      </c>
      <c r="O972">
        <v>0.21299999999999999</v>
      </c>
      <c r="P972">
        <v>0.17100000000000001</v>
      </c>
      <c r="Q972">
        <v>1.538</v>
      </c>
      <c r="R972">
        <v>70.162000000000006</v>
      </c>
      <c r="S972">
        <v>29.838000000000001</v>
      </c>
      <c r="T972">
        <v>501.89</v>
      </c>
      <c r="U972">
        <v>0.92</v>
      </c>
      <c r="V972">
        <v>22.8</v>
      </c>
      <c r="W972">
        <v>5.8</v>
      </c>
      <c r="X972">
        <v>10.4</v>
      </c>
    </row>
    <row r="973" spans="1:24" x14ac:dyDescent="0.25">
      <c r="A973" t="s">
        <v>114</v>
      </c>
      <c r="B973" t="s">
        <v>41</v>
      </c>
      <c r="C973" t="s">
        <v>35</v>
      </c>
      <c r="D973">
        <v>2013</v>
      </c>
      <c r="E973">
        <v>50071168</v>
      </c>
      <c r="F973">
        <v>1700045113031</v>
      </c>
      <c r="G973">
        <v>537.16</v>
      </c>
      <c r="H973">
        <v>537.16</v>
      </c>
      <c r="I973">
        <v>1.67</v>
      </c>
      <c r="J973">
        <v>1.1499999999999999</v>
      </c>
      <c r="K973">
        <v>10.23</v>
      </c>
      <c r="L973">
        <v>4.29</v>
      </c>
      <c r="M973">
        <v>138.78</v>
      </c>
      <c r="N973">
        <v>388.15</v>
      </c>
      <c r="O973">
        <v>0.311</v>
      </c>
      <c r="P973">
        <v>0.214</v>
      </c>
      <c r="Q973">
        <v>1.9039999999999999</v>
      </c>
      <c r="R973">
        <v>72.260000000000005</v>
      </c>
      <c r="S973">
        <v>27.74</v>
      </c>
      <c r="T973">
        <v>511.75</v>
      </c>
      <c r="U973">
        <v>1.27</v>
      </c>
      <c r="V973">
        <v>47.8</v>
      </c>
      <c r="W973">
        <v>26.4</v>
      </c>
      <c r="X973">
        <v>25.2</v>
      </c>
    </row>
    <row r="974" spans="1:24" x14ac:dyDescent="0.25">
      <c r="A974" t="s">
        <v>114</v>
      </c>
      <c r="B974" t="s">
        <v>41</v>
      </c>
      <c r="C974" t="s">
        <v>35</v>
      </c>
      <c r="D974">
        <v>2014</v>
      </c>
      <c r="E974">
        <v>50539055</v>
      </c>
      <c r="F974">
        <v>1754480590300</v>
      </c>
      <c r="G974">
        <v>540.38</v>
      </c>
      <c r="H974">
        <v>540.38</v>
      </c>
      <c r="I974">
        <v>2.69</v>
      </c>
      <c r="J974">
        <v>1.1499999999999999</v>
      </c>
      <c r="K974">
        <v>12.89</v>
      </c>
      <c r="L974">
        <v>2.75</v>
      </c>
      <c r="M974">
        <v>156.41</v>
      </c>
      <c r="N974">
        <v>371.08</v>
      </c>
      <c r="O974">
        <v>0.498</v>
      </c>
      <c r="P974">
        <v>0.21299999999999999</v>
      </c>
      <c r="Q974">
        <v>2.3849999999999998</v>
      </c>
      <c r="R974">
        <v>68.67</v>
      </c>
      <c r="S974">
        <v>31.33</v>
      </c>
      <c r="T974">
        <v>493.39</v>
      </c>
      <c r="U974">
        <v>1.73</v>
      </c>
      <c r="V974">
        <v>61.1</v>
      </c>
      <c r="W974">
        <v>0</v>
      </c>
      <c r="X974">
        <v>26</v>
      </c>
    </row>
    <row r="975" spans="1:24" x14ac:dyDescent="0.25">
      <c r="A975" t="s">
        <v>114</v>
      </c>
      <c r="B975" t="s">
        <v>41</v>
      </c>
      <c r="C975" t="s">
        <v>35</v>
      </c>
      <c r="D975">
        <v>2015</v>
      </c>
      <c r="E975">
        <v>50983909</v>
      </c>
      <c r="F975">
        <v>1803763858886</v>
      </c>
      <c r="G975">
        <v>547.79999999999995</v>
      </c>
      <c r="H975">
        <v>547.79999999999995</v>
      </c>
      <c r="I975">
        <v>4.2300000000000004</v>
      </c>
      <c r="J975">
        <v>1.34</v>
      </c>
      <c r="K975">
        <v>15.2</v>
      </c>
      <c r="L975">
        <v>2.15</v>
      </c>
      <c r="M975">
        <v>164.76</v>
      </c>
      <c r="N975">
        <v>367.84</v>
      </c>
      <c r="O975">
        <v>0.77200000000000002</v>
      </c>
      <c r="P975">
        <v>0.245</v>
      </c>
      <c r="Q975">
        <v>2.7749999999999999</v>
      </c>
      <c r="R975">
        <v>67.149000000000001</v>
      </c>
      <c r="S975">
        <v>32.850999999999999</v>
      </c>
      <c r="T975">
        <v>487.64</v>
      </c>
      <c r="U975">
        <v>2.5099999999999998</v>
      </c>
      <c r="V975">
        <v>57.2</v>
      </c>
      <c r="W975">
        <v>16.5</v>
      </c>
      <c r="X975">
        <v>17.899999999999999</v>
      </c>
    </row>
    <row r="976" spans="1:24" x14ac:dyDescent="0.25">
      <c r="A976" t="s">
        <v>114</v>
      </c>
      <c r="B976" t="s">
        <v>41</v>
      </c>
      <c r="C976" t="s">
        <v>35</v>
      </c>
      <c r="D976">
        <v>2016</v>
      </c>
      <c r="E976">
        <v>51297836</v>
      </c>
      <c r="F976">
        <v>1856920794289</v>
      </c>
      <c r="G976">
        <v>560.98</v>
      </c>
      <c r="H976">
        <v>560.98</v>
      </c>
      <c r="I976">
        <v>5.52</v>
      </c>
      <c r="J976">
        <v>1.68</v>
      </c>
      <c r="K976">
        <v>18.13</v>
      </c>
      <c r="L976">
        <v>2.85</v>
      </c>
      <c r="M976">
        <v>161.99</v>
      </c>
      <c r="N976">
        <v>380.86</v>
      </c>
      <c r="O976">
        <v>0.98399999999999999</v>
      </c>
      <c r="P976">
        <v>0.29899999999999999</v>
      </c>
      <c r="Q976">
        <v>3.2320000000000002</v>
      </c>
      <c r="R976">
        <v>67.891999999999996</v>
      </c>
      <c r="S976">
        <v>32.107999999999997</v>
      </c>
      <c r="T976">
        <v>489.38</v>
      </c>
      <c r="U976">
        <v>3.24</v>
      </c>
      <c r="V976">
        <v>30.5</v>
      </c>
      <c r="W976">
        <v>25.4</v>
      </c>
      <c r="X976">
        <v>19.3</v>
      </c>
    </row>
    <row r="977" spans="1:25" x14ac:dyDescent="0.25">
      <c r="A977" t="s">
        <v>114</v>
      </c>
      <c r="B977" t="s">
        <v>41</v>
      </c>
      <c r="C977" t="s">
        <v>35</v>
      </c>
      <c r="D977">
        <v>2017</v>
      </c>
      <c r="E977">
        <v>51486268</v>
      </c>
      <c r="F977">
        <v>1915599559593</v>
      </c>
      <c r="G977">
        <v>576.41</v>
      </c>
      <c r="H977">
        <v>576.41</v>
      </c>
      <c r="I977">
        <v>7.74</v>
      </c>
      <c r="J977">
        <v>2.17</v>
      </c>
      <c r="K977">
        <v>22.33</v>
      </c>
      <c r="L977">
        <v>2.81</v>
      </c>
      <c r="M977">
        <v>148.43</v>
      </c>
      <c r="N977">
        <v>405.65</v>
      </c>
      <c r="O977">
        <v>1.343</v>
      </c>
      <c r="P977">
        <v>0.376</v>
      </c>
      <c r="Q977">
        <v>3.8740000000000001</v>
      </c>
      <c r="R977">
        <v>70.375</v>
      </c>
      <c r="S977">
        <v>29.625</v>
      </c>
      <c r="T977">
        <v>511.48</v>
      </c>
      <c r="U977">
        <v>4.46</v>
      </c>
      <c r="V977">
        <v>40.200000000000003</v>
      </c>
      <c r="W977">
        <v>29.2</v>
      </c>
      <c r="X977">
        <v>23.2</v>
      </c>
    </row>
    <row r="978" spans="1:25" x14ac:dyDescent="0.25">
      <c r="A978" t="s">
        <v>114</v>
      </c>
      <c r="B978" t="s">
        <v>41</v>
      </c>
      <c r="C978" t="s">
        <v>35</v>
      </c>
      <c r="D978">
        <v>2018</v>
      </c>
      <c r="E978">
        <v>51640894</v>
      </c>
      <c r="F978">
        <v>1971285914824</v>
      </c>
      <c r="G978">
        <v>592.91</v>
      </c>
      <c r="H978">
        <v>592.91</v>
      </c>
      <c r="I978">
        <v>10.17</v>
      </c>
      <c r="J978">
        <v>2.46</v>
      </c>
      <c r="K978">
        <v>27.8</v>
      </c>
      <c r="L978">
        <v>3.36</v>
      </c>
      <c r="M978">
        <v>133.51</v>
      </c>
      <c r="N978">
        <v>431.6</v>
      </c>
      <c r="O978">
        <v>1.7150000000000001</v>
      </c>
      <c r="P978">
        <v>0.41499999999999998</v>
      </c>
      <c r="Q978">
        <v>4.6890000000000001</v>
      </c>
      <c r="R978">
        <v>72.793999999999997</v>
      </c>
      <c r="S978">
        <v>27.206</v>
      </c>
      <c r="T978">
        <v>518.80999999999995</v>
      </c>
      <c r="U978">
        <v>5.68</v>
      </c>
      <c r="V978">
        <v>31.4</v>
      </c>
      <c r="W978">
        <v>13.4</v>
      </c>
      <c r="X978">
        <v>24.5</v>
      </c>
    </row>
    <row r="979" spans="1:25" x14ac:dyDescent="0.25">
      <c r="A979" t="s">
        <v>114</v>
      </c>
      <c r="B979" t="s">
        <v>41</v>
      </c>
      <c r="C979" t="s">
        <v>35</v>
      </c>
      <c r="D979">
        <v>2019</v>
      </c>
      <c r="E979">
        <v>51767844</v>
      </c>
      <c r="F979">
        <v>2015521635585</v>
      </c>
      <c r="G979">
        <v>586.79999999999995</v>
      </c>
      <c r="H979">
        <v>586.79999999999995</v>
      </c>
      <c r="I979">
        <v>14.19</v>
      </c>
      <c r="J979">
        <v>2.68</v>
      </c>
      <c r="K979">
        <v>33.01</v>
      </c>
      <c r="L979">
        <v>2.79</v>
      </c>
      <c r="M979">
        <v>145.91</v>
      </c>
      <c r="N979">
        <v>407.88</v>
      </c>
      <c r="O979">
        <v>2.4180000000000001</v>
      </c>
      <c r="P979">
        <v>0.45700000000000002</v>
      </c>
      <c r="Q979">
        <v>5.625</v>
      </c>
      <c r="R979">
        <v>69.509</v>
      </c>
      <c r="S979">
        <v>30.491</v>
      </c>
      <c r="T979">
        <v>496.97</v>
      </c>
      <c r="U979">
        <v>7.59</v>
      </c>
      <c r="V979">
        <v>39.5</v>
      </c>
      <c r="W979">
        <v>8.9</v>
      </c>
      <c r="X979">
        <v>18.7</v>
      </c>
    </row>
    <row r="980" spans="1:25" x14ac:dyDescent="0.25">
      <c r="A980" t="s">
        <v>114</v>
      </c>
      <c r="B980" t="s">
        <v>41</v>
      </c>
      <c r="C980" t="s">
        <v>35</v>
      </c>
      <c r="D980">
        <v>2020</v>
      </c>
      <c r="E980">
        <v>51858481</v>
      </c>
      <c r="F980">
        <v>2001231642062</v>
      </c>
      <c r="G980">
        <v>577.11</v>
      </c>
      <c r="H980">
        <v>577.11</v>
      </c>
      <c r="I980">
        <v>19.34</v>
      </c>
      <c r="J980">
        <v>3.15</v>
      </c>
      <c r="K980">
        <v>40.4</v>
      </c>
      <c r="L980">
        <v>3.88</v>
      </c>
      <c r="M980">
        <v>160.18</v>
      </c>
      <c r="N980">
        <v>376.53</v>
      </c>
      <c r="O980">
        <v>3.351</v>
      </c>
      <c r="P980">
        <v>0.54600000000000004</v>
      </c>
      <c r="Q980">
        <v>7</v>
      </c>
      <c r="R980">
        <v>65.244</v>
      </c>
      <c r="S980">
        <v>34.756</v>
      </c>
      <c r="T980">
        <v>457.63</v>
      </c>
      <c r="U980">
        <v>10.119999999999999</v>
      </c>
      <c r="V980">
        <v>36.299999999999997</v>
      </c>
      <c r="W980">
        <v>17.5</v>
      </c>
      <c r="X980">
        <v>22.4</v>
      </c>
      <c r="Y980" t="s">
        <v>115</v>
      </c>
    </row>
    <row r="981" spans="1:25" x14ac:dyDescent="0.25">
      <c r="A981" t="s">
        <v>114</v>
      </c>
      <c r="B981" t="s">
        <v>41</v>
      </c>
      <c r="C981" t="s">
        <v>35</v>
      </c>
      <c r="D981">
        <v>2021</v>
      </c>
      <c r="E981">
        <v>51848401</v>
      </c>
      <c r="F981">
        <v>2084182684453</v>
      </c>
      <c r="G981">
        <v>607.76</v>
      </c>
      <c r="H981">
        <v>607.76</v>
      </c>
      <c r="I981">
        <v>24.72</v>
      </c>
      <c r="J981">
        <v>3.18</v>
      </c>
      <c r="K981">
        <v>48.1</v>
      </c>
      <c r="L981">
        <v>3.05</v>
      </c>
      <c r="M981">
        <v>158.01</v>
      </c>
      <c r="N981">
        <v>401.65</v>
      </c>
      <c r="O981">
        <v>4.0670000000000002</v>
      </c>
      <c r="P981">
        <v>0.52300000000000002</v>
      </c>
      <c r="Q981">
        <v>7.9139999999999997</v>
      </c>
      <c r="R981">
        <v>66.087000000000003</v>
      </c>
      <c r="S981">
        <v>33.912999999999997</v>
      </c>
      <c r="T981">
        <v>459.46</v>
      </c>
      <c r="U981">
        <v>12.56</v>
      </c>
      <c r="V981">
        <v>27.8</v>
      </c>
      <c r="W981">
        <v>1</v>
      </c>
      <c r="X981">
        <v>19.100000000000001</v>
      </c>
    </row>
    <row r="982" spans="1:25" x14ac:dyDescent="0.25">
      <c r="A982" t="s">
        <v>114</v>
      </c>
      <c r="B982" t="s">
        <v>41</v>
      </c>
      <c r="C982" t="s">
        <v>35</v>
      </c>
      <c r="D982">
        <v>2022</v>
      </c>
      <c r="E982">
        <v>51782515</v>
      </c>
      <c r="F982">
        <v>2137558645699</v>
      </c>
      <c r="G982">
        <v>622.59</v>
      </c>
      <c r="H982">
        <v>622.59</v>
      </c>
      <c r="I982">
        <v>30.73</v>
      </c>
      <c r="J982">
        <v>3.37</v>
      </c>
      <c r="K982">
        <v>55.49</v>
      </c>
      <c r="L982">
        <v>3.54</v>
      </c>
      <c r="M982">
        <v>176.05</v>
      </c>
      <c r="N982">
        <v>391.05</v>
      </c>
      <c r="O982">
        <v>4.9359999999999999</v>
      </c>
      <c r="P982">
        <v>0.54100000000000004</v>
      </c>
      <c r="Q982">
        <v>8.9130000000000003</v>
      </c>
      <c r="R982">
        <v>62.81</v>
      </c>
      <c r="S982">
        <v>37.19</v>
      </c>
      <c r="T982">
        <v>438.06</v>
      </c>
      <c r="U982">
        <v>15.34</v>
      </c>
      <c r="V982">
        <v>24.3</v>
      </c>
      <c r="W982">
        <v>6</v>
      </c>
      <c r="X982">
        <v>15.4</v>
      </c>
    </row>
    <row r="983" spans="1:25" x14ac:dyDescent="0.25">
      <c r="A983" t="s">
        <v>114</v>
      </c>
      <c r="B983" t="s">
        <v>41</v>
      </c>
      <c r="C983" t="s">
        <v>35</v>
      </c>
      <c r="D983">
        <v>2023</v>
      </c>
      <c r="E983">
        <v>51748744</v>
      </c>
      <c r="G983">
        <v>617.49</v>
      </c>
      <c r="H983">
        <v>617.49</v>
      </c>
      <c r="I983">
        <v>33.24</v>
      </c>
      <c r="J983">
        <v>3.39</v>
      </c>
      <c r="K983">
        <v>59.07</v>
      </c>
      <c r="L983">
        <v>3.72</v>
      </c>
      <c r="M983">
        <v>180.49</v>
      </c>
      <c r="N983">
        <v>377.93</v>
      </c>
      <c r="O983">
        <v>5.383</v>
      </c>
      <c r="P983">
        <v>0.54900000000000004</v>
      </c>
      <c r="Q983">
        <v>9.5660000000000007</v>
      </c>
      <c r="R983">
        <v>61.204000000000001</v>
      </c>
      <c r="S983">
        <v>38.795999999999999</v>
      </c>
      <c r="T983">
        <v>427.29</v>
      </c>
      <c r="U983">
        <v>16.48</v>
      </c>
      <c r="V983">
        <v>8.1999999999999993</v>
      </c>
      <c r="W983">
        <v>0.6</v>
      </c>
      <c r="X983">
        <v>6.5</v>
      </c>
    </row>
    <row r="984" spans="1:25" x14ac:dyDescent="0.25">
      <c r="A984" t="s">
        <v>114</v>
      </c>
      <c r="B984" t="s">
        <v>41</v>
      </c>
      <c r="C984" t="s">
        <v>35</v>
      </c>
      <c r="D984">
        <v>2024</v>
      </c>
      <c r="E984">
        <v>51717587</v>
      </c>
      <c r="G984">
        <v>625.38</v>
      </c>
      <c r="H984">
        <v>625.38</v>
      </c>
      <c r="I984">
        <v>32.72</v>
      </c>
      <c r="J984">
        <v>3.36</v>
      </c>
      <c r="K984">
        <v>60.72</v>
      </c>
      <c r="L984">
        <v>4.3</v>
      </c>
      <c r="M984">
        <v>188.75</v>
      </c>
      <c r="N984">
        <v>375.91</v>
      </c>
      <c r="O984">
        <v>5.2320000000000002</v>
      </c>
      <c r="P984">
        <v>0.53700000000000003</v>
      </c>
      <c r="Q984">
        <v>9.7089999999999996</v>
      </c>
      <c r="R984">
        <v>60.109000000000002</v>
      </c>
      <c r="S984">
        <v>39.890999999999998</v>
      </c>
      <c r="T984">
        <v>415.51</v>
      </c>
      <c r="U984">
        <v>16.239999999999998</v>
      </c>
      <c r="V984">
        <v>-1.6</v>
      </c>
      <c r="W984">
        <v>-0.9</v>
      </c>
      <c r="X984">
        <v>2.8</v>
      </c>
    </row>
    <row r="985" spans="1:25" x14ac:dyDescent="0.25">
      <c r="A985" t="s">
        <v>114</v>
      </c>
      <c r="B985" t="s">
        <v>41</v>
      </c>
      <c r="C985" t="s">
        <v>35</v>
      </c>
      <c r="D985">
        <v>2025</v>
      </c>
      <c r="E985">
        <v>51667035</v>
      </c>
      <c r="G985">
        <v>624.66</v>
      </c>
      <c r="H985">
        <v>624.66</v>
      </c>
      <c r="I985">
        <v>37.799999999999997</v>
      </c>
      <c r="J985">
        <v>3.64</v>
      </c>
      <c r="K985">
        <v>64.930000000000007</v>
      </c>
      <c r="L985">
        <v>3.8</v>
      </c>
      <c r="M985">
        <v>184.67</v>
      </c>
      <c r="N985">
        <v>375.06</v>
      </c>
      <c r="O985">
        <v>6.0510000000000002</v>
      </c>
      <c r="P985">
        <v>0.58299999999999996</v>
      </c>
      <c r="Q985">
        <v>10.394</v>
      </c>
      <c r="R985">
        <v>60.042000000000002</v>
      </c>
      <c r="S985">
        <v>39.957999999999998</v>
      </c>
      <c r="T985">
        <v>417.06</v>
      </c>
      <c r="U985">
        <v>18.649999999999999</v>
      </c>
      <c r="V985">
        <v>15.5</v>
      </c>
      <c r="W985">
        <v>8.3000000000000007</v>
      </c>
      <c r="X985">
        <v>6.9</v>
      </c>
    </row>
    <row r="986" spans="1:25" x14ac:dyDescent="0.25">
      <c r="A986" t="s">
        <v>116</v>
      </c>
      <c r="B986" t="s">
        <v>38</v>
      </c>
      <c r="C986" t="s">
        <v>35</v>
      </c>
      <c r="D986">
        <v>2000</v>
      </c>
      <c r="E986">
        <v>41019772</v>
      </c>
      <c r="F986">
        <v>1094998702299</v>
      </c>
      <c r="G986">
        <v>220.92</v>
      </c>
      <c r="H986">
        <v>225.36</v>
      </c>
      <c r="I986">
        <v>0.01</v>
      </c>
      <c r="J986">
        <v>4.7300000000000004</v>
      </c>
      <c r="K986">
        <v>34.49</v>
      </c>
      <c r="L986">
        <v>28.26</v>
      </c>
      <c r="M986">
        <v>62.21</v>
      </c>
      <c r="N986">
        <v>124.22</v>
      </c>
      <c r="O986">
        <v>5.0000000000000001E-3</v>
      </c>
      <c r="P986">
        <v>2.141</v>
      </c>
      <c r="Q986">
        <v>15.612</v>
      </c>
      <c r="R986">
        <v>56.228999999999999</v>
      </c>
      <c r="S986">
        <v>43.771000000000001</v>
      </c>
      <c r="T986">
        <v>470.89</v>
      </c>
      <c r="U986">
        <v>2.13</v>
      </c>
    </row>
    <row r="987" spans="1:25" x14ac:dyDescent="0.25">
      <c r="A987" t="s">
        <v>116</v>
      </c>
      <c r="B987" t="s">
        <v>38</v>
      </c>
      <c r="C987" t="s">
        <v>35</v>
      </c>
      <c r="D987">
        <v>2001</v>
      </c>
      <c r="E987">
        <v>41245602</v>
      </c>
      <c r="F987">
        <v>1147959133197</v>
      </c>
      <c r="G987">
        <v>233.07</v>
      </c>
      <c r="H987">
        <v>236.52</v>
      </c>
      <c r="I987">
        <v>0.02</v>
      </c>
      <c r="J987">
        <v>6.76</v>
      </c>
      <c r="K987">
        <v>49.3</v>
      </c>
      <c r="L987">
        <v>40.89</v>
      </c>
      <c r="M987">
        <v>63.71</v>
      </c>
      <c r="N987">
        <v>120.06</v>
      </c>
      <c r="O987">
        <v>8.9999999999999993E-3</v>
      </c>
      <c r="P987">
        <v>2.9</v>
      </c>
      <c r="Q987">
        <v>21.152000000000001</v>
      </c>
      <c r="R987">
        <v>51.512</v>
      </c>
      <c r="S987">
        <v>48.488</v>
      </c>
      <c r="T987">
        <v>422.49</v>
      </c>
      <c r="U987">
        <v>3.05</v>
      </c>
      <c r="V987">
        <v>100</v>
      </c>
      <c r="W987">
        <v>42.9</v>
      </c>
      <c r="X987">
        <v>42.9</v>
      </c>
    </row>
    <row r="988" spans="1:25" x14ac:dyDescent="0.25">
      <c r="A988" t="s">
        <v>116</v>
      </c>
      <c r="B988" t="s">
        <v>38</v>
      </c>
      <c r="C988" t="s">
        <v>35</v>
      </c>
      <c r="D988">
        <v>2002</v>
      </c>
      <c r="E988">
        <v>41755703</v>
      </c>
      <c r="F988">
        <v>1191323484900</v>
      </c>
      <c r="G988">
        <v>239.91</v>
      </c>
      <c r="H988">
        <v>245.24</v>
      </c>
      <c r="I988">
        <v>0.02</v>
      </c>
      <c r="J988">
        <v>9.34</v>
      </c>
      <c r="K988">
        <v>33.17</v>
      </c>
      <c r="L988">
        <v>21.22</v>
      </c>
      <c r="M988">
        <v>63.02</v>
      </c>
      <c r="N988">
        <v>143.72</v>
      </c>
      <c r="O988">
        <v>8.0000000000000002E-3</v>
      </c>
      <c r="P988">
        <v>3.8929999999999998</v>
      </c>
      <c r="Q988">
        <v>13.826000000000001</v>
      </c>
      <c r="R988">
        <v>59.905999999999999</v>
      </c>
      <c r="S988">
        <v>40.094000000000001</v>
      </c>
      <c r="T988">
        <v>481.89</v>
      </c>
      <c r="U988">
        <v>4.21</v>
      </c>
      <c r="V988">
        <v>0</v>
      </c>
      <c r="W988">
        <v>38.200000000000003</v>
      </c>
      <c r="X988">
        <v>-32.700000000000003</v>
      </c>
    </row>
    <row r="989" spans="1:25" x14ac:dyDescent="0.25">
      <c r="A989" t="s">
        <v>116</v>
      </c>
      <c r="B989" t="s">
        <v>38</v>
      </c>
      <c r="C989" t="s">
        <v>35</v>
      </c>
      <c r="D989">
        <v>2003</v>
      </c>
      <c r="E989">
        <v>42506540</v>
      </c>
      <c r="F989">
        <v>1239651963472</v>
      </c>
      <c r="G989">
        <v>257.3</v>
      </c>
      <c r="H989">
        <v>258.56</v>
      </c>
      <c r="I989">
        <v>0.02</v>
      </c>
      <c r="J989">
        <v>12.07</v>
      </c>
      <c r="K989">
        <v>55.75</v>
      </c>
      <c r="L989">
        <v>40.479999999999997</v>
      </c>
      <c r="M989">
        <v>61.88</v>
      </c>
      <c r="N989">
        <v>139.66999999999999</v>
      </c>
      <c r="O989">
        <v>8.0000000000000002E-3</v>
      </c>
      <c r="P989">
        <v>4.6909999999999998</v>
      </c>
      <c r="Q989">
        <v>21.667000000000002</v>
      </c>
      <c r="R989">
        <v>54.283000000000001</v>
      </c>
      <c r="S989">
        <v>45.716999999999999</v>
      </c>
      <c r="T989">
        <v>429.23</v>
      </c>
      <c r="U989">
        <v>5.44</v>
      </c>
      <c r="V989">
        <v>0</v>
      </c>
      <c r="W989">
        <v>29.2</v>
      </c>
      <c r="X989">
        <v>68.099999999999994</v>
      </c>
    </row>
    <row r="990" spans="1:25" x14ac:dyDescent="0.25">
      <c r="A990" t="s">
        <v>116</v>
      </c>
      <c r="B990" t="s">
        <v>38</v>
      </c>
      <c r="C990" t="s">
        <v>35</v>
      </c>
      <c r="D990">
        <v>2004</v>
      </c>
      <c r="E990">
        <v>43234562</v>
      </c>
      <c r="F990">
        <v>1289831715789</v>
      </c>
      <c r="G990">
        <v>276.61</v>
      </c>
      <c r="H990">
        <v>273.58</v>
      </c>
      <c r="I990">
        <v>0.02</v>
      </c>
      <c r="J990">
        <v>15.7</v>
      </c>
      <c r="K990">
        <v>50.13</v>
      </c>
      <c r="L990">
        <v>31.08</v>
      </c>
      <c r="M990">
        <v>63.61</v>
      </c>
      <c r="N990">
        <v>162.87</v>
      </c>
      <c r="O990">
        <v>7.0000000000000001E-3</v>
      </c>
      <c r="P990">
        <v>5.6760000000000002</v>
      </c>
      <c r="Q990">
        <v>18.123000000000001</v>
      </c>
      <c r="R990">
        <v>58.881</v>
      </c>
      <c r="S990">
        <v>41.119</v>
      </c>
      <c r="T990">
        <v>449.12</v>
      </c>
      <c r="U990">
        <v>7.07</v>
      </c>
      <c r="V990">
        <v>0</v>
      </c>
      <c r="W990">
        <v>30.1</v>
      </c>
      <c r="X990">
        <v>-10.1</v>
      </c>
    </row>
    <row r="991" spans="1:25" x14ac:dyDescent="0.25">
      <c r="A991" t="s">
        <v>116</v>
      </c>
      <c r="B991" t="s">
        <v>38</v>
      </c>
      <c r="C991" t="s">
        <v>35</v>
      </c>
      <c r="D991">
        <v>2005</v>
      </c>
      <c r="E991">
        <v>43958883</v>
      </c>
      <c r="F991">
        <v>1348839731490</v>
      </c>
      <c r="G991">
        <v>289.45999999999998</v>
      </c>
      <c r="H991">
        <v>288.12</v>
      </c>
      <c r="I991">
        <v>0.05</v>
      </c>
      <c r="J991">
        <v>21.18</v>
      </c>
      <c r="K991">
        <v>42.27</v>
      </c>
      <c r="L991">
        <v>18.39</v>
      </c>
      <c r="M991">
        <v>57.54</v>
      </c>
      <c r="N991">
        <v>189.65</v>
      </c>
      <c r="O991">
        <v>1.7000000000000001E-2</v>
      </c>
      <c r="P991">
        <v>7.3170000000000002</v>
      </c>
      <c r="Q991">
        <v>14.603</v>
      </c>
      <c r="R991">
        <v>65.519000000000005</v>
      </c>
      <c r="S991">
        <v>34.481000000000002</v>
      </c>
      <c r="T991">
        <v>475.06</v>
      </c>
      <c r="U991">
        <v>9.5500000000000007</v>
      </c>
      <c r="V991">
        <v>150</v>
      </c>
      <c r="W991">
        <v>34.9</v>
      </c>
      <c r="X991">
        <v>-15.7</v>
      </c>
    </row>
    <row r="992" spans="1:25" x14ac:dyDescent="0.25">
      <c r="A992" t="s">
        <v>116</v>
      </c>
      <c r="B992" t="s">
        <v>38</v>
      </c>
      <c r="C992" t="s">
        <v>35</v>
      </c>
      <c r="D992">
        <v>2006</v>
      </c>
      <c r="E992">
        <v>44695446</v>
      </c>
      <c r="F992">
        <v>1415738502534</v>
      </c>
      <c r="G992">
        <v>295.58999999999997</v>
      </c>
      <c r="H992">
        <v>292.31</v>
      </c>
      <c r="I992">
        <v>0.12</v>
      </c>
      <c r="J992">
        <v>23.3</v>
      </c>
      <c r="K992">
        <v>52.15</v>
      </c>
      <c r="L992">
        <v>25.96</v>
      </c>
      <c r="M992">
        <v>60.13</v>
      </c>
      <c r="N992">
        <v>183.31</v>
      </c>
      <c r="O992">
        <v>4.1000000000000002E-2</v>
      </c>
      <c r="P992">
        <v>7.883</v>
      </c>
      <c r="Q992">
        <v>17.643000000000001</v>
      </c>
      <c r="R992">
        <v>62.015000000000001</v>
      </c>
      <c r="S992">
        <v>37.984999999999999</v>
      </c>
      <c r="T992">
        <v>432.76</v>
      </c>
      <c r="U992">
        <v>10.54</v>
      </c>
      <c r="V992">
        <v>140</v>
      </c>
      <c r="W992">
        <v>10</v>
      </c>
      <c r="X992">
        <v>23.4</v>
      </c>
    </row>
    <row r="993" spans="1:25" x14ac:dyDescent="0.25">
      <c r="A993" t="s">
        <v>116</v>
      </c>
      <c r="B993" t="s">
        <v>38</v>
      </c>
      <c r="C993" t="s">
        <v>35</v>
      </c>
      <c r="D993">
        <v>2007</v>
      </c>
      <c r="E993">
        <v>45516501</v>
      </c>
      <c r="F993">
        <v>1481143208580</v>
      </c>
      <c r="G993">
        <v>301.86</v>
      </c>
      <c r="H993">
        <v>296.11</v>
      </c>
      <c r="I993">
        <v>0.52</v>
      </c>
      <c r="J993">
        <v>27.57</v>
      </c>
      <c r="K993">
        <v>58.3</v>
      </c>
      <c r="L993">
        <v>27.31</v>
      </c>
      <c r="M993">
        <v>55.1</v>
      </c>
      <c r="N993">
        <v>188.46</v>
      </c>
      <c r="O993">
        <v>0.17199999999999999</v>
      </c>
      <c r="P993">
        <v>9.1329999999999991</v>
      </c>
      <c r="Q993">
        <v>19.314</v>
      </c>
      <c r="R993">
        <v>62.433</v>
      </c>
      <c r="S993">
        <v>37.567</v>
      </c>
      <c r="T993">
        <v>438.85</v>
      </c>
      <c r="U993">
        <v>12.64</v>
      </c>
      <c r="V993">
        <v>333.3</v>
      </c>
      <c r="W993">
        <v>18.3</v>
      </c>
      <c r="X993">
        <v>11.8</v>
      </c>
    </row>
    <row r="994" spans="1:25" x14ac:dyDescent="0.25">
      <c r="A994" t="s">
        <v>116</v>
      </c>
      <c r="B994" t="s">
        <v>38</v>
      </c>
      <c r="C994" t="s">
        <v>35</v>
      </c>
      <c r="D994">
        <v>2008</v>
      </c>
      <c r="E994">
        <v>46235055</v>
      </c>
      <c r="F994">
        <v>1510615290401</v>
      </c>
      <c r="G994">
        <v>309.79000000000002</v>
      </c>
      <c r="H994">
        <v>298.75</v>
      </c>
      <c r="I994">
        <v>2.58</v>
      </c>
      <c r="J994">
        <v>32.950000000000003</v>
      </c>
      <c r="K994">
        <v>62.15</v>
      </c>
      <c r="L994">
        <v>23.36</v>
      </c>
      <c r="M994">
        <v>58.97</v>
      </c>
      <c r="N994">
        <v>188.67</v>
      </c>
      <c r="O994">
        <v>0.83299999999999996</v>
      </c>
      <c r="P994">
        <v>10.635999999999999</v>
      </c>
      <c r="Q994">
        <v>20.062000000000001</v>
      </c>
      <c r="R994">
        <v>60.902999999999999</v>
      </c>
      <c r="S994">
        <v>39.097000000000001</v>
      </c>
      <c r="T994">
        <v>390.23</v>
      </c>
      <c r="U994">
        <v>15.99</v>
      </c>
      <c r="V994">
        <v>396.2</v>
      </c>
      <c r="W994">
        <v>19.5</v>
      </c>
      <c r="X994">
        <v>6.6</v>
      </c>
    </row>
    <row r="995" spans="1:25" x14ac:dyDescent="0.25">
      <c r="A995" t="s">
        <v>116</v>
      </c>
      <c r="B995" t="s">
        <v>38</v>
      </c>
      <c r="C995" t="s">
        <v>35</v>
      </c>
      <c r="D995">
        <v>2009</v>
      </c>
      <c r="E995">
        <v>46635182</v>
      </c>
      <c r="F995">
        <v>1468765814163</v>
      </c>
      <c r="G995">
        <v>290.72000000000003</v>
      </c>
      <c r="H995">
        <v>282.62</v>
      </c>
      <c r="I995">
        <v>6.06</v>
      </c>
      <c r="J995">
        <v>38.119999999999997</v>
      </c>
      <c r="K995">
        <v>74.08</v>
      </c>
      <c r="L995">
        <v>26.41</v>
      </c>
      <c r="M995">
        <v>52.76</v>
      </c>
      <c r="N995">
        <v>163.88</v>
      </c>
      <c r="O995">
        <v>2.0840000000000001</v>
      </c>
      <c r="P995">
        <v>13.112</v>
      </c>
      <c r="Q995">
        <v>25.481999999999999</v>
      </c>
      <c r="R995">
        <v>56.37</v>
      </c>
      <c r="S995">
        <v>43.63</v>
      </c>
      <c r="T995">
        <v>355.02</v>
      </c>
      <c r="U995">
        <v>19.88</v>
      </c>
      <c r="V995">
        <v>134.9</v>
      </c>
      <c r="W995">
        <v>15.7</v>
      </c>
      <c r="X995">
        <v>19.2</v>
      </c>
    </row>
    <row r="996" spans="1:25" x14ac:dyDescent="0.25">
      <c r="A996" t="s">
        <v>116</v>
      </c>
      <c r="B996" t="s">
        <v>38</v>
      </c>
      <c r="C996" t="s">
        <v>35</v>
      </c>
      <c r="D996">
        <v>2010</v>
      </c>
      <c r="E996">
        <v>46840469</v>
      </c>
      <c r="F996">
        <v>1480376411582</v>
      </c>
      <c r="G996">
        <v>297.8</v>
      </c>
      <c r="H996">
        <v>289.47000000000003</v>
      </c>
      <c r="I996">
        <v>7.19</v>
      </c>
      <c r="J996">
        <v>44.27</v>
      </c>
      <c r="K996">
        <v>97.77</v>
      </c>
      <c r="L996">
        <v>42.3</v>
      </c>
      <c r="M996">
        <v>61.99</v>
      </c>
      <c r="N996">
        <v>138.04</v>
      </c>
      <c r="O996">
        <v>2.4140000000000001</v>
      </c>
      <c r="P996">
        <v>14.866</v>
      </c>
      <c r="Q996">
        <v>32.831000000000003</v>
      </c>
      <c r="R996">
        <v>46.353000000000002</v>
      </c>
      <c r="S996">
        <v>53.646999999999998</v>
      </c>
      <c r="T996">
        <v>288.25</v>
      </c>
      <c r="U996">
        <v>23.16</v>
      </c>
      <c r="V996">
        <v>18.600000000000001</v>
      </c>
      <c r="W996">
        <v>16.100000000000001</v>
      </c>
      <c r="X996">
        <v>32</v>
      </c>
    </row>
    <row r="997" spans="1:25" x14ac:dyDescent="0.25">
      <c r="A997" t="s">
        <v>116</v>
      </c>
      <c r="B997" t="s">
        <v>38</v>
      </c>
      <c r="C997" t="s">
        <v>35</v>
      </c>
      <c r="D997">
        <v>2011</v>
      </c>
      <c r="E997">
        <v>46998040</v>
      </c>
      <c r="F997">
        <v>1477187548437</v>
      </c>
      <c r="G997">
        <v>291.54000000000002</v>
      </c>
      <c r="H997">
        <v>285.45</v>
      </c>
      <c r="I997">
        <v>9.4</v>
      </c>
      <c r="J997">
        <v>42.92</v>
      </c>
      <c r="K997">
        <v>87.53</v>
      </c>
      <c r="L997">
        <v>30.6</v>
      </c>
      <c r="M997">
        <v>57.72</v>
      </c>
      <c r="N997">
        <v>146.29</v>
      </c>
      <c r="O997">
        <v>3.2240000000000002</v>
      </c>
      <c r="P997">
        <v>14.722</v>
      </c>
      <c r="Q997">
        <v>30.023</v>
      </c>
      <c r="R997">
        <v>50.177999999999997</v>
      </c>
      <c r="S997">
        <v>49.822000000000003</v>
      </c>
      <c r="T997">
        <v>337.28</v>
      </c>
      <c r="U997">
        <v>23.54</v>
      </c>
      <c r="V997">
        <v>30.7</v>
      </c>
      <c r="W997">
        <v>-3</v>
      </c>
      <c r="X997">
        <v>-10.5</v>
      </c>
    </row>
    <row r="998" spans="1:25" x14ac:dyDescent="0.25">
      <c r="A998" t="s">
        <v>116</v>
      </c>
      <c r="B998" t="s">
        <v>38</v>
      </c>
      <c r="C998" t="s">
        <v>35</v>
      </c>
      <c r="D998">
        <v>2012</v>
      </c>
      <c r="E998">
        <v>47018323</v>
      </c>
      <c r="F998">
        <v>1433478645419</v>
      </c>
      <c r="G998">
        <v>293.95</v>
      </c>
      <c r="H998">
        <v>282.75</v>
      </c>
      <c r="I998">
        <v>11.97</v>
      </c>
      <c r="J998">
        <v>49.47</v>
      </c>
      <c r="K998">
        <v>86.97</v>
      </c>
      <c r="L998">
        <v>20.55</v>
      </c>
      <c r="M998">
        <v>61.47</v>
      </c>
      <c r="N998">
        <v>145.51</v>
      </c>
      <c r="O998">
        <v>4.0720000000000001</v>
      </c>
      <c r="P998">
        <v>16.829000000000001</v>
      </c>
      <c r="Q998">
        <v>29.587</v>
      </c>
      <c r="R998">
        <v>49.502000000000002</v>
      </c>
      <c r="S998">
        <v>50.497999999999998</v>
      </c>
      <c r="T998">
        <v>351.11</v>
      </c>
      <c r="U998">
        <v>27.65</v>
      </c>
      <c r="V998">
        <v>27.3</v>
      </c>
      <c r="W998">
        <v>15.3</v>
      </c>
      <c r="X998">
        <v>-0.6</v>
      </c>
    </row>
    <row r="999" spans="1:25" x14ac:dyDescent="0.25">
      <c r="A999" t="s">
        <v>116</v>
      </c>
      <c r="B999" t="s">
        <v>38</v>
      </c>
      <c r="C999" t="s">
        <v>35</v>
      </c>
      <c r="D999">
        <v>2013</v>
      </c>
      <c r="E999">
        <v>46860394</v>
      </c>
      <c r="F999">
        <v>1413362053623</v>
      </c>
      <c r="G999">
        <v>281.45999999999998</v>
      </c>
      <c r="H999">
        <v>274.70999999999998</v>
      </c>
      <c r="I999">
        <v>13.1</v>
      </c>
      <c r="J999">
        <v>55.64</v>
      </c>
      <c r="K999">
        <v>111.41</v>
      </c>
      <c r="L999">
        <v>36.869999999999997</v>
      </c>
      <c r="M999">
        <v>56.73</v>
      </c>
      <c r="N999">
        <v>113.32</v>
      </c>
      <c r="O999">
        <v>4.6539999999999999</v>
      </c>
      <c r="P999">
        <v>19.768000000000001</v>
      </c>
      <c r="Q999">
        <v>39.582999999999998</v>
      </c>
      <c r="R999">
        <v>40.261000000000003</v>
      </c>
      <c r="S999">
        <v>59.738999999999997</v>
      </c>
      <c r="T999">
        <v>286.86</v>
      </c>
      <c r="U999">
        <v>30.93</v>
      </c>
      <c r="V999">
        <v>9.4</v>
      </c>
      <c r="W999">
        <v>12.5</v>
      </c>
      <c r="X999">
        <v>28.1</v>
      </c>
    </row>
    <row r="1000" spans="1:25" x14ac:dyDescent="0.25">
      <c r="A1000" t="s">
        <v>116</v>
      </c>
      <c r="B1000" t="s">
        <v>38</v>
      </c>
      <c r="C1000" t="s">
        <v>35</v>
      </c>
      <c r="D1000">
        <v>2014</v>
      </c>
      <c r="E1000">
        <v>46720187</v>
      </c>
      <c r="F1000">
        <v>1433089409797</v>
      </c>
      <c r="G1000">
        <v>274.44</v>
      </c>
      <c r="H1000">
        <v>271.02999999999997</v>
      </c>
      <c r="I1000">
        <v>13.67</v>
      </c>
      <c r="J1000">
        <v>52.01</v>
      </c>
      <c r="K1000">
        <v>110.26</v>
      </c>
      <c r="L1000">
        <v>39.17</v>
      </c>
      <c r="M1000">
        <v>57.31</v>
      </c>
      <c r="N1000">
        <v>106.87</v>
      </c>
      <c r="O1000">
        <v>4.9809999999999999</v>
      </c>
      <c r="P1000">
        <v>18.951000000000001</v>
      </c>
      <c r="Q1000">
        <v>40.176000000000002</v>
      </c>
      <c r="R1000">
        <v>38.941000000000003</v>
      </c>
      <c r="S1000">
        <v>61.058999999999997</v>
      </c>
      <c r="T1000">
        <v>288.99</v>
      </c>
      <c r="U1000">
        <v>29.56</v>
      </c>
      <c r="V1000">
        <v>4.4000000000000004</v>
      </c>
      <c r="W1000">
        <v>-6.5</v>
      </c>
      <c r="X1000">
        <v>-1</v>
      </c>
    </row>
    <row r="1001" spans="1:25" x14ac:dyDescent="0.25">
      <c r="A1001" t="s">
        <v>116</v>
      </c>
      <c r="B1001" t="s">
        <v>38</v>
      </c>
      <c r="C1001" t="s">
        <v>35</v>
      </c>
      <c r="D1001">
        <v>2015</v>
      </c>
      <c r="E1001">
        <v>46683683</v>
      </c>
      <c r="F1001">
        <v>1488098863146</v>
      </c>
      <c r="G1001">
        <v>277.17</v>
      </c>
      <c r="H1001">
        <v>277.04000000000002</v>
      </c>
      <c r="I1001">
        <v>13.86</v>
      </c>
      <c r="J1001">
        <v>49.32</v>
      </c>
      <c r="K1001">
        <v>97.08</v>
      </c>
      <c r="L1001">
        <v>28.14</v>
      </c>
      <c r="M1001">
        <v>57.2</v>
      </c>
      <c r="N1001">
        <v>122.89</v>
      </c>
      <c r="O1001">
        <v>5.0010000000000003</v>
      </c>
      <c r="P1001">
        <v>17.794</v>
      </c>
      <c r="Q1001">
        <v>35.024999999999999</v>
      </c>
      <c r="R1001">
        <v>44.337000000000003</v>
      </c>
      <c r="S1001">
        <v>55.662999999999997</v>
      </c>
      <c r="T1001">
        <v>328.5</v>
      </c>
      <c r="U1001">
        <v>28.43</v>
      </c>
      <c r="V1001">
        <v>1.4</v>
      </c>
      <c r="W1001">
        <v>-5.2</v>
      </c>
      <c r="X1001">
        <v>-12</v>
      </c>
    </row>
    <row r="1002" spans="1:25" x14ac:dyDescent="0.25">
      <c r="A1002" t="s">
        <v>116</v>
      </c>
      <c r="B1002" t="s">
        <v>38</v>
      </c>
      <c r="C1002" t="s">
        <v>35</v>
      </c>
      <c r="D1002">
        <v>2016</v>
      </c>
      <c r="E1002">
        <v>46732768</v>
      </c>
      <c r="F1002">
        <v>1533303930046</v>
      </c>
      <c r="G1002">
        <v>270.7</v>
      </c>
      <c r="H1002">
        <v>278.37</v>
      </c>
      <c r="I1002">
        <v>13.64</v>
      </c>
      <c r="J1002">
        <v>48.9</v>
      </c>
      <c r="K1002">
        <v>104.63</v>
      </c>
      <c r="L1002">
        <v>36.4</v>
      </c>
      <c r="M1002">
        <v>58.63</v>
      </c>
      <c r="N1002">
        <v>107.44</v>
      </c>
      <c r="O1002">
        <v>5.0389999999999997</v>
      </c>
      <c r="P1002">
        <v>18.064</v>
      </c>
      <c r="Q1002">
        <v>38.652000000000001</v>
      </c>
      <c r="R1002">
        <v>39.69</v>
      </c>
      <c r="S1002">
        <v>60.31</v>
      </c>
      <c r="T1002">
        <v>282.93</v>
      </c>
      <c r="U1002">
        <v>28.14</v>
      </c>
      <c r="V1002">
        <v>-1.6</v>
      </c>
      <c r="W1002">
        <v>-0.9</v>
      </c>
      <c r="X1002">
        <v>7.8</v>
      </c>
    </row>
    <row r="1003" spans="1:25" x14ac:dyDescent="0.25">
      <c r="A1003" t="s">
        <v>116</v>
      </c>
      <c r="B1003" t="s">
        <v>38</v>
      </c>
      <c r="C1003" t="s">
        <v>35</v>
      </c>
      <c r="D1003">
        <v>2017</v>
      </c>
      <c r="E1003">
        <v>46868594</v>
      </c>
      <c r="F1003">
        <v>1578931492849</v>
      </c>
      <c r="G1003">
        <v>272.38</v>
      </c>
      <c r="H1003">
        <v>281.55</v>
      </c>
      <c r="I1003">
        <v>14.4</v>
      </c>
      <c r="J1003">
        <v>49.13</v>
      </c>
      <c r="K1003">
        <v>87.93</v>
      </c>
      <c r="L1003">
        <v>18.32</v>
      </c>
      <c r="M1003">
        <v>58.04</v>
      </c>
      <c r="N1003">
        <v>126.41</v>
      </c>
      <c r="O1003">
        <v>5.2869999999999999</v>
      </c>
      <c r="P1003">
        <v>18.036999999999999</v>
      </c>
      <c r="Q1003">
        <v>32.281999999999996</v>
      </c>
      <c r="R1003">
        <v>46.408999999999999</v>
      </c>
      <c r="S1003">
        <v>53.591000000000001</v>
      </c>
      <c r="T1003">
        <v>329.17</v>
      </c>
      <c r="U1003">
        <v>28.59</v>
      </c>
      <c r="V1003">
        <v>5.6</v>
      </c>
      <c r="W1003">
        <v>0.5</v>
      </c>
      <c r="X1003">
        <v>-16</v>
      </c>
    </row>
    <row r="1004" spans="1:25" x14ac:dyDescent="0.25">
      <c r="A1004" t="s">
        <v>116</v>
      </c>
      <c r="B1004" t="s">
        <v>38</v>
      </c>
      <c r="C1004" t="s">
        <v>35</v>
      </c>
      <c r="D1004">
        <v>2018</v>
      </c>
      <c r="E1004">
        <v>47092817</v>
      </c>
      <c r="F1004">
        <v>1615001473949</v>
      </c>
      <c r="G1004">
        <v>271.39999999999998</v>
      </c>
      <c r="H1004">
        <v>282.5</v>
      </c>
      <c r="I1004">
        <v>12.74</v>
      </c>
      <c r="J1004">
        <v>50.89</v>
      </c>
      <c r="K1004">
        <v>103.87</v>
      </c>
      <c r="L1004">
        <v>34.33</v>
      </c>
      <c r="M1004">
        <v>55.77</v>
      </c>
      <c r="N1004">
        <v>111.76</v>
      </c>
      <c r="O1004">
        <v>4.694</v>
      </c>
      <c r="P1004">
        <v>18.751000000000001</v>
      </c>
      <c r="Q1004">
        <v>38.271999999999998</v>
      </c>
      <c r="R1004">
        <v>41.179000000000002</v>
      </c>
      <c r="S1004">
        <v>58.820999999999998</v>
      </c>
      <c r="T1004">
        <v>290.86</v>
      </c>
      <c r="U1004">
        <v>28.63</v>
      </c>
      <c r="V1004">
        <v>-11.5</v>
      </c>
      <c r="W1004">
        <v>3.6</v>
      </c>
      <c r="X1004">
        <v>18.100000000000001</v>
      </c>
    </row>
    <row r="1005" spans="1:25" x14ac:dyDescent="0.25">
      <c r="A1005" t="s">
        <v>116</v>
      </c>
      <c r="B1005" t="s">
        <v>38</v>
      </c>
      <c r="C1005" t="s">
        <v>35</v>
      </c>
      <c r="D1005">
        <v>2019</v>
      </c>
      <c r="E1005">
        <v>47435121</v>
      </c>
      <c r="F1005">
        <v>1647042667976</v>
      </c>
      <c r="G1005">
        <v>270.52</v>
      </c>
      <c r="H1005">
        <v>277.38</v>
      </c>
      <c r="I1005">
        <v>15.1</v>
      </c>
      <c r="J1005">
        <v>55.65</v>
      </c>
      <c r="K1005">
        <v>100.99</v>
      </c>
      <c r="L1005">
        <v>24.65</v>
      </c>
      <c r="M1005">
        <v>58.35</v>
      </c>
      <c r="N1005">
        <v>111.18</v>
      </c>
      <c r="O1005">
        <v>5.5819999999999999</v>
      </c>
      <c r="P1005">
        <v>20.571000000000002</v>
      </c>
      <c r="Q1005">
        <v>37.332000000000001</v>
      </c>
      <c r="R1005">
        <v>41.098999999999997</v>
      </c>
      <c r="S1005">
        <v>58.901000000000003</v>
      </c>
      <c r="T1005">
        <v>246.67</v>
      </c>
      <c r="U1005">
        <v>31.84</v>
      </c>
      <c r="V1005">
        <v>18.5</v>
      </c>
      <c r="W1005">
        <v>9.4</v>
      </c>
      <c r="X1005">
        <v>-2.8</v>
      </c>
    </row>
    <row r="1006" spans="1:25" x14ac:dyDescent="0.25">
      <c r="A1006" t="s">
        <v>116</v>
      </c>
      <c r="B1006" t="s">
        <v>38</v>
      </c>
      <c r="C1006" t="s">
        <v>35</v>
      </c>
      <c r="D1006">
        <v>2020</v>
      </c>
      <c r="E1006">
        <v>47679482</v>
      </c>
      <c r="F1006">
        <v>1460507935923</v>
      </c>
      <c r="G1006">
        <v>259.47000000000003</v>
      </c>
      <c r="H1006">
        <v>262.75</v>
      </c>
      <c r="I1006">
        <v>20.67</v>
      </c>
      <c r="J1006">
        <v>56.44</v>
      </c>
      <c r="K1006">
        <v>113.79</v>
      </c>
      <c r="L1006">
        <v>30.51</v>
      </c>
      <c r="M1006">
        <v>58.3</v>
      </c>
      <c r="N1006">
        <v>87.38</v>
      </c>
      <c r="O1006">
        <v>7.9660000000000002</v>
      </c>
      <c r="P1006">
        <v>21.751999999999999</v>
      </c>
      <c r="Q1006">
        <v>43.854999999999997</v>
      </c>
      <c r="R1006">
        <v>33.676000000000002</v>
      </c>
      <c r="S1006">
        <v>66.323999999999998</v>
      </c>
      <c r="T1006">
        <v>199.1</v>
      </c>
      <c r="U1006">
        <v>34.700000000000003</v>
      </c>
      <c r="V1006">
        <v>36.9</v>
      </c>
      <c r="W1006">
        <v>1.4</v>
      </c>
      <c r="X1006">
        <v>12.7</v>
      </c>
    </row>
    <row r="1007" spans="1:25" x14ac:dyDescent="0.25">
      <c r="A1007" t="s">
        <v>116</v>
      </c>
      <c r="B1007" t="s">
        <v>38</v>
      </c>
      <c r="C1007" t="s">
        <v>35</v>
      </c>
      <c r="D1007">
        <v>2021</v>
      </c>
      <c r="E1007">
        <v>47735670</v>
      </c>
      <c r="F1007">
        <v>1541121952313</v>
      </c>
      <c r="G1007">
        <v>270.75</v>
      </c>
      <c r="H1007">
        <v>271.60000000000002</v>
      </c>
      <c r="I1007">
        <v>27.1</v>
      </c>
      <c r="J1007">
        <v>62.06</v>
      </c>
      <c r="K1007">
        <v>125.75</v>
      </c>
      <c r="L1007">
        <v>29.63</v>
      </c>
      <c r="M1007">
        <v>56.56</v>
      </c>
      <c r="N1007">
        <v>88.44</v>
      </c>
      <c r="O1007">
        <v>10.009</v>
      </c>
      <c r="P1007">
        <v>22.922000000000001</v>
      </c>
      <c r="Q1007">
        <v>46.445</v>
      </c>
      <c r="R1007">
        <v>32.664999999999999</v>
      </c>
      <c r="S1007">
        <v>67.334999999999994</v>
      </c>
      <c r="T1007">
        <v>193.54</v>
      </c>
      <c r="U1007">
        <v>40.119999999999997</v>
      </c>
      <c r="V1007">
        <v>31.1</v>
      </c>
      <c r="W1007">
        <v>10</v>
      </c>
      <c r="X1007">
        <v>10.5</v>
      </c>
      <c r="Y1007" t="s">
        <v>117</v>
      </c>
    </row>
    <row r="1008" spans="1:25" x14ac:dyDescent="0.25">
      <c r="A1008" t="s">
        <v>116</v>
      </c>
      <c r="B1008" t="s">
        <v>38</v>
      </c>
      <c r="C1008" t="s">
        <v>35</v>
      </c>
      <c r="D1008">
        <v>2022</v>
      </c>
      <c r="E1008">
        <v>47828386</v>
      </c>
      <c r="F1008">
        <v>1625139888517</v>
      </c>
      <c r="G1008">
        <v>287.14999999999998</v>
      </c>
      <c r="H1008">
        <v>267.35000000000002</v>
      </c>
      <c r="I1008">
        <v>35.72</v>
      </c>
      <c r="J1008">
        <v>62.78</v>
      </c>
      <c r="K1008">
        <v>122.91</v>
      </c>
      <c r="L1008">
        <v>17.59</v>
      </c>
      <c r="M1008">
        <v>58.59</v>
      </c>
      <c r="N1008">
        <v>105.65</v>
      </c>
      <c r="O1008">
        <v>12.439</v>
      </c>
      <c r="P1008">
        <v>21.863</v>
      </c>
      <c r="Q1008">
        <v>42.802999999999997</v>
      </c>
      <c r="R1008">
        <v>36.792999999999999</v>
      </c>
      <c r="S1008">
        <v>63.207000000000001</v>
      </c>
      <c r="T1008">
        <v>217.13</v>
      </c>
      <c r="U1008">
        <v>44.32</v>
      </c>
      <c r="V1008">
        <v>31.8</v>
      </c>
      <c r="W1008">
        <v>1.2</v>
      </c>
      <c r="X1008">
        <v>-2.2999999999999998</v>
      </c>
    </row>
    <row r="1009" spans="1:24" x14ac:dyDescent="0.25">
      <c r="A1009" t="s">
        <v>116</v>
      </c>
      <c r="B1009" t="s">
        <v>38</v>
      </c>
      <c r="C1009" t="s">
        <v>35</v>
      </c>
      <c r="D1009">
        <v>2023</v>
      </c>
      <c r="E1009">
        <v>47911583</v>
      </c>
      <c r="G1009">
        <v>279.11</v>
      </c>
      <c r="H1009">
        <v>265.14999999999998</v>
      </c>
      <c r="I1009">
        <v>48.59</v>
      </c>
      <c r="J1009">
        <v>64.28</v>
      </c>
      <c r="K1009">
        <v>143.78</v>
      </c>
      <c r="L1009">
        <v>25</v>
      </c>
      <c r="M1009">
        <v>56.87</v>
      </c>
      <c r="N1009">
        <v>78.459999999999994</v>
      </c>
      <c r="O1009">
        <v>17.408999999999999</v>
      </c>
      <c r="P1009">
        <v>23.03</v>
      </c>
      <c r="Q1009">
        <v>51.514000000000003</v>
      </c>
      <c r="R1009">
        <v>28.111000000000001</v>
      </c>
      <c r="S1009">
        <v>71.888999999999996</v>
      </c>
      <c r="T1009">
        <v>169.68</v>
      </c>
      <c r="U1009">
        <v>50.79</v>
      </c>
      <c r="V1009">
        <v>36</v>
      </c>
      <c r="W1009">
        <v>2.4</v>
      </c>
      <c r="X1009">
        <v>17</v>
      </c>
    </row>
    <row r="1010" spans="1:24" x14ac:dyDescent="0.25">
      <c r="A1010" t="s">
        <v>116</v>
      </c>
      <c r="B1010" t="s">
        <v>38</v>
      </c>
      <c r="C1010" t="s">
        <v>35</v>
      </c>
      <c r="D1010">
        <v>2024</v>
      </c>
      <c r="E1010">
        <v>47910533</v>
      </c>
      <c r="G1010">
        <v>280.94</v>
      </c>
      <c r="H1010">
        <v>270.70999999999998</v>
      </c>
      <c r="I1010">
        <v>58.29</v>
      </c>
      <c r="J1010">
        <v>62.2</v>
      </c>
      <c r="K1010">
        <v>161.08000000000001</v>
      </c>
      <c r="L1010">
        <v>34.409999999999997</v>
      </c>
      <c r="M1010">
        <v>54.53</v>
      </c>
      <c r="N1010">
        <v>65.33</v>
      </c>
      <c r="O1010">
        <v>20.748000000000001</v>
      </c>
      <c r="P1010">
        <v>22.14</v>
      </c>
      <c r="Q1010">
        <v>57.335999999999999</v>
      </c>
      <c r="R1010">
        <v>23.254000000000001</v>
      </c>
      <c r="S1010">
        <v>76.745999999999995</v>
      </c>
      <c r="T1010">
        <v>146.22</v>
      </c>
      <c r="U1010">
        <v>54.22</v>
      </c>
      <c r="V1010">
        <v>20</v>
      </c>
      <c r="W1010">
        <v>-3.2</v>
      </c>
      <c r="X1010">
        <v>12</v>
      </c>
    </row>
    <row r="1011" spans="1:24" x14ac:dyDescent="0.25">
      <c r="A1011" t="s">
        <v>116</v>
      </c>
      <c r="B1011" t="s">
        <v>38</v>
      </c>
      <c r="C1011" t="s">
        <v>35</v>
      </c>
      <c r="D1011">
        <v>2025</v>
      </c>
      <c r="E1011">
        <v>47889960</v>
      </c>
      <c r="G1011">
        <v>287.89</v>
      </c>
      <c r="H1011">
        <v>275.10000000000002</v>
      </c>
      <c r="I1011">
        <v>62.9</v>
      </c>
      <c r="J1011">
        <v>58.76</v>
      </c>
      <c r="K1011">
        <v>160.81</v>
      </c>
      <c r="L1011">
        <v>32.74</v>
      </c>
      <c r="M1011">
        <v>54.07</v>
      </c>
      <c r="N1011">
        <v>73.010000000000005</v>
      </c>
      <c r="O1011">
        <v>21.849</v>
      </c>
      <c r="P1011">
        <v>20.411000000000001</v>
      </c>
      <c r="Q1011">
        <v>55.857999999999997</v>
      </c>
      <c r="R1011">
        <v>25.36</v>
      </c>
      <c r="S1011">
        <v>74.64</v>
      </c>
      <c r="T1011">
        <v>153.6</v>
      </c>
      <c r="U1011">
        <v>54.75</v>
      </c>
      <c r="V1011">
        <v>7.9</v>
      </c>
      <c r="W1011">
        <v>-5.5</v>
      </c>
      <c r="X1011">
        <v>-0.2</v>
      </c>
    </row>
    <row r="1012" spans="1:24" x14ac:dyDescent="0.25">
      <c r="A1012" t="s">
        <v>118</v>
      </c>
      <c r="B1012" t="s">
        <v>38</v>
      </c>
      <c r="C1012" t="s">
        <v>35</v>
      </c>
      <c r="D1012">
        <v>2000</v>
      </c>
      <c r="E1012">
        <v>8872099</v>
      </c>
      <c r="F1012">
        <v>303452362920</v>
      </c>
      <c r="G1012">
        <v>145.22999999999999</v>
      </c>
      <c r="H1012">
        <v>149.91</v>
      </c>
      <c r="I1012">
        <v>0</v>
      </c>
      <c r="J1012">
        <v>0.46</v>
      </c>
      <c r="K1012">
        <v>83.14</v>
      </c>
      <c r="L1012">
        <v>78.58</v>
      </c>
      <c r="M1012">
        <v>57.32</v>
      </c>
      <c r="N1012">
        <v>4.7699999999999996</v>
      </c>
      <c r="O1012">
        <v>0</v>
      </c>
      <c r="P1012">
        <v>0.317</v>
      </c>
      <c r="Q1012">
        <v>57.247</v>
      </c>
      <c r="R1012">
        <v>3.2839999999999998</v>
      </c>
      <c r="S1012">
        <v>96.715999999999994</v>
      </c>
      <c r="T1012">
        <v>44.89</v>
      </c>
      <c r="U1012">
        <v>0.21</v>
      </c>
    </row>
    <row r="1013" spans="1:24" x14ac:dyDescent="0.25">
      <c r="A1013" t="s">
        <v>118</v>
      </c>
      <c r="B1013" t="s">
        <v>38</v>
      </c>
      <c r="C1013" t="s">
        <v>35</v>
      </c>
      <c r="D1013">
        <v>2001</v>
      </c>
      <c r="E1013">
        <v>8896018</v>
      </c>
      <c r="F1013">
        <v>308398096624</v>
      </c>
      <c r="G1013">
        <v>161.6</v>
      </c>
      <c r="H1013">
        <v>154.31</v>
      </c>
      <c r="I1013">
        <v>0</v>
      </c>
      <c r="J1013">
        <v>0.48</v>
      </c>
      <c r="K1013">
        <v>83.32</v>
      </c>
      <c r="L1013">
        <v>79.06</v>
      </c>
      <c r="M1013">
        <v>72.11</v>
      </c>
      <c r="N1013">
        <v>6.17</v>
      </c>
      <c r="O1013">
        <v>0</v>
      </c>
      <c r="P1013">
        <v>0.29699999999999999</v>
      </c>
      <c r="Q1013">
        <v>51.558999999999997</v>
      </c>
      <c r="R1013">
        <v>3.8180000000000001</v>
      </c>
      <c r="S1013">
        <v>96.182000000000002</v>
      </c>
      <c r="T1013">
        <v>46.78</v>
      </c>
      <c r="U1013">
        <v>0.22</v>
      </c>
      <c r="W1013">
        <v>4.3</v>
      </c>
      <c r="X1013">
        <v>0.2</v>
      </c>
    </row>
    <row r="1014" spans="1:24" x14ac:dyDescent="0.25">
      <c r="A1014" t="s">
        <v>118</v>
      </c>
      <c r="B1014" t="s">
        <v>38</v>
      </c>
      <c r="C1014" t="s">
        <v>35</v>
      </c>
      <c r="D1014">
        <v>2002</v>
      </c>
      <c r="E1014">
        <v>8925045</v>
      </c>
      <c r="F1014">
        <v>317463771012</v>
      </c>
      <c r="G1014">
        <v>146.69999999999999</v>
      </c>
      <c r="H1014">
        <v>152.06</v>
      </c>
      <c r="I1014">
        <v>0</v>
      </c>
      <c r="J1014">
        <v>0.61</v>
      </c>
      <c r="K1014">
        <v>71.150000000000006</v>
      </c>
      <c r="L1014">
        <v>66.36</v>
      </c>
      <c r="M1014">
        <v>68.11</v>
      </c>
      <c r="N1014">
        <v>7.44</v>
      </c>
      <c r="O1014">
        <v>0</v>
      </c>
      <c r="P1014">
        <v>0.41599999999999998</v>
      </c>
      <c r="Q1014">
        <v>48.5</v>
      </c>
      <c r="R1014">
        <v>5.0720000000000001</v>
      </c>
      <c r="S1014">
        <v>94.927999999999997</v>
      </c>
      <c r="T1014">
        <v>56.24</v>
      </c>
      <c r="U1014">
        <v>0.27</v>
      </c>
      <c r="W1014">
        <v>27.1</v>
      </c>
      <c r="X1014">
        <v>-14.6</v>
      </c>
    </row>
    <row r="1015" spans="1:24" x14ac:dyDescent="0.25">
      <c r="A1015" t="s">
        <v>118</v>
      </c>
      <c r="B1015" t="s">
        <v>38</v>
      </c>
      <c r="C1015" t="s">
        <v>35</v>
      </c>
      <c r="D1015">
        <v>2003</v>
      </c>
      <c r="E1015">
        <v>8958434</v>
      </c>
      <c r="F1015">
        <v>326402407102</v>
      </c>
      <c r="G1015">
        <v>135.38999999999999</v>
      </c>
      <c r="H1015">
        <v>148.22</v>
      </c>
      <c r="I1015">
        <v>0</v>
      </c>
      <c r="J1015">
        <v>0.68</v>
      </c>
      <c r="K1015">
        <v>58.73</v>
      </c>
      <c r="L1015">
        <v>53.54</v>
      </c>
      <c r="M1015">
        <v>67.42</v>
      </c>
      <c r="N1015">
        <v>9.24</v>
      </c>
      <c r="O1015">
        <v>0</v>
      </c>
      <c r="P1015">
        <v>0.502</v>
      </c>
      <c r="Q1015">
        <v>43.378</v>
      </c>
      <c r="R1015">
        <v>6.8250000000000002</v>
      </c>
      <c r="S1015">
        <v>93.174999999999997</v>
      </c>
      <c r="T1015">
        <v>68.540000000000006</v>
      </c>
      <c r="U1015">
        <v>0.31</v>
      </c>
      <c r="W1015">
        <v>11.5</v>
      </c>
      <c r="X1015">
        <v>-17.5</v>
      </c>
    </row>
    <row r="1016" spans="1:24" x14ac:dyDescent="0.25">
      <c r="A1016" t="s">
        <v>118</v>
      </c>
      <c r="B1016" t="s">
        <v>38</v>
      </c>
      <c r="C1016" t="s">
        <v>35</v>
      </c>
      <c r="D1016">
        <v>2004</v>
      </c>
      <c r="E1016">
        <v>8993805</v>
      </c>
      <c r="F1016">
        <v>341901244849</v>
      </c>
      <c r="G1016">
        <v>151.56</v>
      </c>
      <c r="H1016">
        <v>149.46</v>
      </c>
      <c r="I1016">
        <v>0</v>
      </c>
      <c r="J1016">
        <v>0.86</v>
      </c>
      <c r="K1016">
        <v>68.180000000000007</v>
      </c>
      <c r="L1016">
        <v>60.12</v>
      </c>
      <c r="M1016">
        <v>77.489999999999995</v>
      </c>
      <c r="N1016">
        <v>5.89</v>
      </c>
      <c r="O1016">
        <v>0</v>
      </c>
      <c r="P1016">
        <v>0.56699999999999995</v>
      </c>
      <c r="Q1016">
        <v>44.984999999999999</v>
      </c>
      <c r="R1016">
        <v>3.8860000000000001</v>
      </c>
      <c r="S1016">
        <v>96.114000000000004</v>
      </c>
      <c r="T1016">
        <v>48.03</v>
      </c>
      <c r="U1016">
        <v>0.39</v>
      </c>
      <c r="W1016">
        <v>26.5</v>
      </c>
      <c r="X1016">
        <v>16.100000000000001</v>
      </c>
    </row>
    <row r="1017" spans="1:24" x14ac:dyDescent="0.25">
      <c r="A1017" t="s">
        <v>118</v>
      </c>
      <c r="B1017" t="s">
        <v>38</v>
      </c>
      <c r="C1017" t="s">
        <v>35</v>
      </c>
      <c r="D1017">
        <v>2005</v>
      </c>
      <c r="E1017">
        <v>9029771</v>
      </c>
      <c r="F1017">
        <v>354496929423</v>
      </c>
      <c r="G1017">
        <v>158.36000000000001</v>
      </c>
      <c r="H1017">
        <v>150.97</v>
      </c>
      <c r="I1017">
        <v>0</v>
      </c>
      <c r="J1017">
        <v>0.93</v>
      </c>
      <c r="K1017">
        <v>81.22</v>
      </c>
      <c r="L1017">
        <v>72.8</v>
      </c>
      <c r="M1017">
        <v>72.38</v>
      </c>
      <c r="N1017">
        <v>4.76</v>
      </c>
      <c r="O1017">
        <v>0</v>
      </c>
      <c r="P1017">
        <v>0.58699999999999997</v>
      </c>
      <c r="Q1017">
        <v>51.287999999999997</v>
      </c>
      <c r="R1017">
        <v>3.0059999999999998</v>
      </c>
      <c r="S1017">
        <v>96.994</v>
      </c>
      <c r="T1017">
        <v>43.13</v>
      </c>
      <c r="U1017">
        <v>0.42</v>
      </c>
      <c r="W1017">
        <v>8.1</v>
      </c>
      <c r="X1017">
        <v>19.100000000000001</v>
      </c>
    </row>
    <row r="1018" spans="1:24" x14ac:dyDescent="0.25">
      <c r="A1018" t="s">
        <v>118</v>
      </c>
      <c r="B1018" t="s">
        <v>38</v>
      </c>
      <c r="C1018" t="s">
        <v>35</v>
      </c>
      <c r="D1018">
        <v>2006</v>
      </c>
      <c r="E1018">
        <v>9080628</v>
      </c>
      <c r="F1018">
        <v>372234670461</v>
      </c>
      <c r="G1018">
        <v>143.28</v>
      </c>
      <c r="H1018">
        <v>149.32</v>
      </c>
      <c r="I1018">
        <v>0</v>
      </c>
      <c r="J1018">
        <v>0.98</v>
      </c>
      <c r="K1018">
        <v>71.06</v>
      </c>
      <c r="L1018">
        <v>61.72</v>
      </c>
      <c r="M1018">
        <v>66.98</v>
      </c>
      <c r="N1018">
        <v>5.24</v>
      </c>
      <c r="O1018">
        <v>0</v>
      </c>
      <c r="P1018">
        <v>0.68400000000000005</v>
      </c>
      <c r="Q1018">
        <v>49.594999999999999</v>
      </c>
      <c r="R1018">
        <v>3.657</v>
      </c>
      <c r="S1018">
        <v>96.343000000000004</v>
      </c>
      <c r="T1018">
        <v>49.69</v>
      </c>
      <c r="U1018">
        <v>0.44</v>
      </c>
      <c r="W1018">
        <v>5.4</v>
      </c>
      <c r="X1018">
        <v>-12.5</v>
      </c>
    </row>
    <row r="1019" spans="1:24" x14ac:dyDescent="0.25">
      <c r="A1019" t="s">
        <v>118</v>
      </c>
      <c r="B1019" t="s">
        <v>38</v>
      </c>
      <c r="C1019" t="s">
        <v>35</v>
      </c>
      <c r="D1019">
        <v>2007</v>
      </c>
      <c r="E1019">
        <v>9148280</v>
      </c>
      <c r="F1019">
        <v>387881844813</v>
      </c>
      <c r="G1019">
        <v>148.82</v>
      </c>
      <c r="H1019">
        <v>150.13999999999999</v>
      </c>
      <c r="I1019">
        <v>0</v>
      </c>
      <c r="J1019">
        <v>1.43</v>
      </c>
      <c r="K1019">
        <v>77.430000000000007</v>
      </c>
      <c r="L1019">
        <v>66.16</v>
      </c>
      <c r="M1019">
        <v>66.97</v>
      </c>
      <c r="N1019">
        <v>4.42</v>
      </c>
      <c r="O1019">
        <v>0</v>
      </c>
      <c r="P1019">
        <v>0.96099999999999997</v>
      </c>
      <c r="Q1019">
        <v>52.029000000000003</v>
      </c>
      <c r="R1019">
        <v>2.97</v>
      </c>
      <c r="S1019">
        <v>97.03</v>
      </c>
      <c r="T1019">
        <v>46.03</v>
      </c>
      <c r="U1019">
        <v>0.64</v>
      </c>
      <c r="W1019">
        <v>45.9</v>
      </c>
      <c r="X1019">
        <v>9</v>
      </c>
    </row>
    <row r="1020" spans="1:24" x14ac:dyDescent="0.25">
      <c r="A1020" t="s">
        <v>118</v>
      </c>
      <c r="B1020" t="s">
        <v>38</v>
      </c>
      <c r="C1020" t="s">
        <v>35</v>
      </c>
      <c r="D1020">
        <v>2008</v>
      </c>
      <c r="E1020">
        <v>9219903</v>
      </c>
      <c r="F1020">
        <v>388980516356</v>
      </c>
      <c r="G1020">
        <v>149.9</v>
      </c>
      <c r="H1020">
        <v>147.94</v>
      </c>
      <c r="I1020">
        <v>0</v>
      </c>
      <c r="J1020">
        <v>2</v>
      </c>
      <c r="K1020">
        <v>81.41</v>
      </c>
      <c r="L1020">
        <v>69.069999999999993</v>
      </c>
      <c r="M1020">
        <v>63.89</v>
      </c>
      <c r="N1020">
        <v>4.5999999999999996</v>
      </c>
      <c r="O1020">
        <v>0</v>
      </c>
      <c r="P1020">
        <v>1.3340000000000001</v>
      </c>
      <c r="Q1020">
        <v>54.31</v>
      </c>
      <c r="R1020">
        <v>3.069</v>
      </c>
      <c r="S1020">
        <v>96.930999999999997</v>
      </c>
      <c r="T1020">
        <v>47.83</v>
      </c>
      <c r="U1020">
        <v>0.9</v>
      </c>
      <c r="W1020">
        <v>39.9</v>
      </c>
      <c r="X1020">
        <v>5.0999999999999996</v>
      </c>
    </row>
    <row r="1021" spans="1:24" x14ac:dyDescent="0.25">
      <c r="A1021" t="s">
        <v>118</v>
      </c>
      <c r="B1021" t="s">
        <v>38</v>
      </c>
      <c r="C1021" t="s">
        <v>35</v>
      </c>
      <c r="D1021">
        <v>2009</v>
      </c>
      <c r="E1021">
        <v>9298738</v>
      </c>
      <c r="F1021">
        <v>373026350439</v>
      </c>
      <c r="G1021">
        <v>136.6</v>
      </c>
      <c r="H1021">
        <v>141.29</v>
      </c>
      <c r="I1021">
        <v>0.01</v>
      </c>
      <c r="J1021">
        <v>2.4900000000000002</v>
      </c>
      <c r="K1021">
        <v>79.81</v>
      </c>
      <c r="L1021">
        <v>65.849999999999994</v>
      </c>
      <c r="M1021">
        <v>52.17</v>
      </c>
      <c r="N1021">
        <v>4.62</v>
      </c>
      <c r="O1021">
        <v>7.0000000000000001E-3</v>
      </c>
      <c r="P1021">
        <v>1.823</v>
      </c>
      <c r="Q1021">
        <v>58.426000000000002</v>
      </c>
      <c r="R1021">
        <v>3.3820000000000001</v>
      </c>
      <c r="S1021">
        <v>96.617999999999995</v>
      </c>
      <c r="T1021">
        <v>51.1</v>
      </c>
      <c r="U1021">
        <v>1.1200000000000001</v>
      </c>
      <c r="W1021">
        <v>24.5</v>
      </c>
      <c r="X1021">
        <v>-2</v>
      </c>
    </row>
    <row r="1022" spans="1:24" x14ac:dyDescent="0.25">
      <c r="A1022" t="s">
        <v>118</v>
      </c>
      <c r="B1022" t="s">
        <v>38</v>
      </c>
      <c r="C1022" t="s">
        <v>35</v>
      </c>
      <c r="D1022">
        <v>2010</v>
      </c>
      <c r="E1022">
        <v>9378234</v>
      </c>
      <c r="F1022">
        <v>399838964466</v>
      </c>
      <c r="G1022">
        <v>148.44999999999999</v>
      </c>
      <c r="H1022">
        <v>150.53</v>
      </c>
      <c r="I1022">
        <v>0.01</v>
      </c>
      <c r="J1022">
        <v>3.49</v>
      </c>
      <c r="K1022">
        <v>82.09</v>
      </c>
      <c r="L1022">
        <v>66.400000000000006</v>
      </c>
      <c r="M1022">
        <v>57.83</v>
      </c>
      <c r="N1022">
        <v>8.5299999999999994</v>
      </c>
      <c r="O1022">
        <v>7.0000000000000001E-3</v>
      </c>
      <c r="P1022">
        <v>2.351</v>
      </c>
      <c r="Q1022">
        <v>55.298000000000002</v>
      </c>
      <c r="R1022">
        <v>5.7460000000000004</v>
      </c>
      <c r="S1022">
        <v>94.254000000000005</v>
      </c>
      <c r="T1022">
        <v>63.73</v>
      </c>
      <c r="U1022">
        <v>1.58</v>
      </c>
      <c r="V1022">
        <v>0</v>
      </c>
      <c r="W1022">
        <v>40.200000000000003</v>
      </c>
      <c r="X1022">
        <v>2.9</v>
      </c>
    </row>
    <row r="1023" spans="1:24" x14ac:dyDescent="0.25">
      <c r="A1023" t="s">
        <v>118</v>
      </c>
      <c r="B1023" t="s">
        <v>38</v>
      </c>
      <c r="C1023" t="s">
        <v>35</v>
      </c>
      <c r="D1023">
        <v>2011</v>
      </c>
      <c r="E1023">
        <v>9449263</v>
      </c>
      <c r="F1023">
        <v>397617949429</v>
      </c>
      <c r="G1023">
        <v>150.28</v>
      </c>
      <c r="H1023">
        <v>143.05000000000001</v>
      </c>
      <c r="I1023">
        <v>0.01</v>
      </c>
      <c r="J1023">
        <v>6.11</v>
      </c>
      <c r="K1023">
        <v>84.09</v>
      </c>
      <c r="L1023">
        <v>66.430000000000007</v>
      </c>
      <c r="M1023">
        <v>60.47</v>
      </c>
      <c r="N1023">
        <v>5.72</v>
      </c>
      <c r="O1023">
        <v>7.0000000000000001E-3</v>
      </c>
      <c r="P1023">
        <v>4.0659999999999998</v>
      </c>
      <c r="Q1023">
        <v>55.956000000000003</v>
      </c>
      <c r="R1023">
        <v>3.806</v>
      </c>
      <c r="S1023">
        <v>96.194000000000003</v>
      </c>
      <c r="T1023">
        <v>52.3</v>
      </c>
      <c r="U1023">
        <v>2.75</v>
      </c>
      <c r="V1023">
        <v>0</v>
      </c>
      <c r="W1023">
        <v>75.099999999999994</v>
      </c>
      <c r="X1023">
        <v>2.4</v>
      </c>
    </row>
    <row r="1024" spans="1:24" x14ac:dyDescent="0.25">
      <c r="A1024" t="s">
        <v>118</v>
      </c>
      <c r="B1024" t="s">
        <v>38</v>
      </c>
      <c r="C1024" t="s">
        <v>35</v>
      </c>
      <c r="D1024">
        <v>2012</v>
      </c>
      <c r="E1024">
        <v>9519477</v>
      </c>
      <c r="F1024">
        <v>395278763366</v>
      </c>
      <c r="G1024">
        <v>166.44</v>
      </c>
      <c r="H1024">
        <v>146.87</v>
      </c>
      <c r="I1024">
        <v>0.02</v>
      </c>
      <c r="J1024">
        <v>7.17</v>
      </c>
      <c r="K1024">
        <v>98.31</v>
      </c>
      <c r="L1024">
        <v>78.930000000000007</v>
      </c>
      <c r="M1024">
        <v>64.040000000000006</v>
      </c>
      <c r="N1024">
        <v>4.09</v>
      </c>
      <c r="O1024">
        <v>1.2E-2</v>
      </c>
      <c r="P1024">
        <v>4.3079999999999998</v>
      </c>
      <c r="Q1024">
        <v>59.066000000000003</v>
      </c>
      <c r="R1024">
        <v>2.4569999999999999</v>
      </c>
      <c r="S1024">
        <v>97.543000000000006</v>
      </c>
      <c r="T1024">
        <v>44.7</v>
      </c>
      <c r="U1024">
        <v>3.24</v>
      </c>
      <c r="V1024">
        <v>100</v>
      </c>
      <c r="W1024">
        <v>17.3</v>
      </c>
      <c r="X1024">
        <v>16.899999999999999</v>
      </c>
    </row>
    <row r="1025" spans="1:25" x14ac:dyDescent="0.25">
      <c r="A1025" t="s">
        <v>118</v>
      </c>
      <c r="B1025" t="s">
        <v>38</v>
      </c>
      <c r="C1025" t="s">
        <v>35</v>
      </c>
      <c r="D1025">
        <v>2013</v>
      </c>
      <c r="E1025">
        <v>9600620</v>
      </c>
      <c r="F1025">
        <v>399973749048</v>
      </c>
      <c r="G1025">
        <v>153.03</v>
      </c>
      <c r="H1025">
        <v>143.03</v>
      </c>
      <c r="I1025">
        <v>0.04</v>
      </c>
      <c r="J1025">
        <v>9.84</v>
      </c>
      <c r="K1025">
        <v>82.69</v>
      </c>
      <c r="L1025">
        <v>61.36</v>
      </c>
      <c r="M1025">
        <v>66.459999999999994</v>
      </c>
      <c r="N1025">
        <v>3.88</v>
      </c>
      <c r="O1025">
        <v>2.5999999999999999E-2</v>
      </c>
      <c r="P1025">
        <v>6.43</v>
      </c>
      <c r="Q1025">
        <v>54.034999999999997</v>
      </c>
      <c r="R1025">
        <v>2.5350000000000001</v>
      </c>
      <c r="S1025">
        <v>97.465000000000003</v>
      </c>
      <c r="T1025">
        <v>44.7</v>
      </c>
      <c r="U1025">
        <v>4.45</v>
      </c>
      <c r="V1025">
        <v>100</v>
      </c>
      <c r="W1025">
        <v>37.200000000000003</v>
      </c>
      <c r="X1025">
        <v>-15.9</v>
      </c>
    </row>
    <row r="1026" spans="1:25" x14ac:dyDescent="0.25">
      <c r="A1026" t="s">
        <v>118</v>
      </c>
      <c r="B1026" t="s">
        <v>38</v>
      </c>
      <c r="C1026" t="s">
        <v>35</v>
      </c>
      <c r="D1026">
        <v>2014</v>
      </c>
      <c r="E1026">
        <v>9696438</v>
      </c>
      <c r="F1026">
        <v>410604225974</v>
      </c>
      <c r="G1026">
        <v>153.56</v>
      </c>
      <c r="H1026">
        <v>137.94</v>
      </c>
      <c r="I1026">
        <v>0.05</v>
      </c>
      <c r="J1026">
        <v>11.24</v>
      </c>
      <c r="K1026">
        <v>85.75</v>
      </c>
      <c r="L1026">
        <v>63.76</v>
      </c>
      <c r="M1026">
        <v>64.88</v>
      </c>
      <c r="N1026">
        <v>2.93</v>
      </c>
      <c r="O1026">
        <v>3.3000000000000002E-2</v>
      </c>
      <c r="P1026">
        <v>7.32</v>
      </c>
      <c r="Q1026">
        <v>55.841000000000001</v>
      </c>
      <c r="R1026">
        <v>1.9079999999999999</v>
      </c>
      <c r="S1026">
        <v>98.091999999999999</v>
      </c>
      <c r="T1026">
        <v>40.18</v>
      </c>
      <c r="U1026">
        <v>5.08</v>
      </c>
      <c r="V1026">
        <v>25</v>
      </c>
      <c r="W1026">
        <v>14.2</v>
      </c>
      <c r="X1026">
        <v>3.7</v>
      </c>
    </row>
    <row r="1027" spans="1:25" x14ac:dyDescent="0.25">
      <c r="A1027" t="s">
        <v>118</v>
      </c>
      <c r="B1027" t="s">
        <v>38</v>
      </c>
      <c r="C1027" t="s">
        <v>35</v>
      </c>
      <c r="D1027">
        <v>2015</v>
      </c>
      <c r="E1027">
        <v>9799483</v>
      </c>
      <c r="F1027">
        <v>429037422635</v>
      </c>
      <c r="G1027">
        <v>162</v>
      </c>
      <c r="H1027">
        <v>139.4</v>
      </c>
      <c r="I1027">
        <v>0.1</v>
      </c>
      <c r="J1027">
        <v>16.32</v>
      </c>
      <c r="K1027">
        <v>102.5</v>
      </c>
      <c r="L1027">
        <v>75.31</v>
      </c>
      <c r="M1027">
        <v>56.35</v>
      </c>
      <c r="N1027">
        <v>3.15</v>
      </c>
      <c r="O1027">
        <v>6.2E-2</v>
      </c>
      <c r="P1027">
        <v>10.074</v>
      </c>
      <c r="Q1027">
        <v>63.271999999999998</v>
      </c>
      <c r="R1027">
        <v>1.944</v>
      </c>
      <c r="S1027">
        <v>98.055999999999997</v>
      </c>
      <c r="T1027">
        <v>40.86</v>
      </c>
      <c r="U1027">
        <v>7.39</v>
      </c>
      <c r="V1027">
        <v>100</v>
      </c>
      <c r="W1027">
        <v>45.2</v>
      </c>
      <c r="X1027">
        <v>19.5</v>
      </c>
    </row>
    <row r="1028" spans="1:25" x14ac:dyDescent="0.25">
      <c r="A1028" t="s">
        <v>118</v>
      </c>
      <c r="B1028" t="s">
        <v>38</v>
      </c>
      <c r="C1028" t="s">
        <v>35</v>
      </c>
      <c r="D1028">
        <v>2016</v>
      </c>
      <c r="E1028">
        <v>9923281</v>
      </c>
      <c r="F1028">
        <v>437921057919</v>
      </c>
      <c r="G1028">
        <v>155.88999999999999</v>
      </c>
      <c r="H1028">
        <v>144.16</v>
      </c>
      <c r="I1028">
        <v>0.14000000000000001</v>
      </c>
      <c r="J1028">
        <v>15.48</v>
      </c>
      <c r="K1028">
        <v>89.13</v>
      </c>
      <c r="L1028">
        <v>62.02</v>
      </c>
      <c r="M1028">
        <v>63.1</v>
      </c>
      <c r="N1028">
        <v>3.66</v>
      </c>
      <c r="O1028">
        <v>0.09</v>
      </c>
      <c r="P1028">
        <v>9.93</v>
      </c>
      <c r="Q1028">
        <v>57.174999999999997</v>
      </c>
      <c r="R1028">
        <v>2.3479999999999999</v>
      </c>
      <c r="S1028">
        <v>97.652000000000001</v>
      </c>
      <c r="T1028">
        <v>42.98</v>
      </c>
      <c r="U1028">
        <v>7.03</v>
      </c>
      <c r="V1028">
        <v>40</v>
      </c>
      <c r="W1028">
        <v>-5.0999999999999996</v>
      </c>
      <c r="X1028">
        <v>-13</v>
      </c>
    </row>
    <row r="1029" spans="1:25" x14ac:dyDescent="0.25">
      <c r="A1029" t="s">
        <v>118</v>
      </c>
      <c r="B1029" t="s">
        <v>38</v>
      </c>
      <c r="C1029" t="s">
        <v>35</v>
      </c>
      <c r="D1029">
        <v>2017</v>
      </c>
      <c r="E1029">
        <v>10057864</v>
      </c>
      <c r="F1029">
        <v>449166531542</v>
      </c>
      <c r="G1029">
        <v>164.23</v>
      </c>
      <c r="H1029">
        <v>145.24</v>
      </c>
      <c r="I1029">
        <v>0.23</v>
      </c>
      <c r="J1029">
        <v>17.61</v>
      </c>
      <c r="K1029">
        <v>95.06</v>
      </c>
      <c r="L1029">
        <v>65.14</v>
      </c>
      <c r="M1029">
        <v>65.7</v>
      </c>
      <c r="N1029">
        <v>3.47</v>
      </c>
      <c r="O1029">
        <v>0.14000000000000001</v>
      </c>
      <c r="P1029">
        <v>10.723000000000001</v>
      </c>
      <c r="Q1029">
        <v>57.881999999999998</v>
      </c>
      <c r="R1029">
        <v>2.113</v>
      </c>
      <c r="S1029">
        <v>97.887</v>
      </c>
      <c r="T1029">
        <v>42.5</v>
      </c>
      <c r="U1029">
        <v>8.0299999999999994</v>
      </c>
      <c r="V1029">
        <v>64.3</v>
      </c>
      <c r="W1029">
        <v>13.8</v>
      </c>
      <c r="X1029">
        <v>6.7</v>
      </c>
      <c r="Y1029" t="s">
        <v>119</v>
      </c>
    </row>
    <row r="1030" spans="1:25" x14ac:dyDescent="0.25">
      <c r="A1030" t="s">
        <v>118</v>
      </c>
      <c r="B1030" t="s">
        <v>38</v>
      </c>
      <c r="C1030" t="s">
        <v>35</v>
      </c>
      <c r="D1030">
        <v>2018</v>
      </c>
      <c r="E1030">
        <v>10175400</v>
      </c>
      <c r="F1030">
        <v>457925387676</v>
      </c>
      <c r="G1030">
        <v>163.36000000000001</v>
      </c>
      <c r="H1030">
        <v>146.13999999999999</v>
      </c>
      <c r="I1030">
        <v>0.41</v>
      </c>
      <c r="J1030">
        <v>16.62</v>
      </c>
      <c r="K1030">
        <v>91.15</v>
      </c>
      <c r="L1030">
        <v>62.21</v>
      </c>
      <c r="M1030">
        <v>68.55</v>
      </c>
      <c r="N1030">
        <v>3.66</v>
      </c>
      <c r="O1030">
        <v>0.251</v>
      </c>
      <c r="P1030">
        <v>10.173999999999999</v>
      </c>
      <c r="Q1030">
        <v>55.796999999999997</v>
      </c>
      <c r="R1030">
        <v>2.2400000000000002</v>
      </c>
      <c r="S1030">
        <v>97.76</v>
      </c>
      <c r="T1030">
        <v>42.73</v>
      </c>
      <c r="U1030">
        <v>7.66</v>
      </c>
      <c r="V1030">
        <v>78.3</v>
      </c>
      <c r="W1030">
        <v>-5.6</v>
      </c>
      <c r="X1030">
        <v>-4.0999999999999996</v>
      </c>
    </row>
    <row r="1031" spans="1:25" x14ac:dyDescent="0.25">
      <c r="A1031" t="s">
        <v>118</v>
      </c>
      <c r="B1031" t="s">
        <v>38</v>
      </c>
      <c r="C1031" t="s">
        <v>35</v>
      </c>
      <c r="D1031">
        <v>2019</v>
      </c>
      <c r="E1031">
        <v>10279120</v>
      </c>
      <c r="F1031">
        <v>467020665386</v>
      </c>
      <c r="G1031">
        <v>168.42</v>
      </c>
      <c r="H1031">
        <v>142.26</v>
      </c>
      <c r="I1031">
        <v>0.68</v>
      </c>
      <c r="J1031">
        <v>19.850000000000001</v>
      </c>
      <c r="K1031">
        <v>98.94</v>
      </c>
      <c r="L1031">
        <v>65.37</v>
      </c>
      <c r="M1031">
        <v>66.13</v>
      </c>
      <c r="N1031">
        <v>3.35</v>
      </c>
      <c r="O1031">
        <v>0.40400000000000003</v>
      </c>
      <c r="P1031">
        <v>11.786</v>
      </c>
      <c r="Q1031">
        <v>58.746000000000002</v>
      </c>
      <c r="R1031">
        <v>1.9890000000000001</v>
      </c>
      <c r="S1031">
        <v>98.010999999999996</v>
      </c>
      <c r="T1031">
        <v>42.34</v>
      </c>
      <c r="U1031">
        <v>9.24</v>
      </c>
      <c r="V1031">
        <v>65.900000000000006</v>
      </c>
      <c r="W1031">
        <v>19.399999999999999</v>
      </c>
      <c r="X1031">
        <v>8.5</v>
      </c>
    </row>
    <row r="1032" spans="1:25" x14ac:dyDescent="0.25">
      <c r="A1032" t="s">
        <v>118</v>
      </c>
      <c r="B1032" t="s">
        <v>38</v>
      </c>
      <c r="C1032" t="s">
        <v>35</v>
      </c>
      <c r="D1032">
        <v>2020</v>
      </c>
      <c r="E1032">
        <v>10353682</v>
      </c>
      <c r="F1032">
        <v>456885314424</v>
      </c>
      <c r="G1032">
        <v>163.78</v>
      </c>
      <c r="H1032">
        <v>138.78</v>
      </c>
      <c r="I1032">
        <v>1.05</v>
      </c>
      <c r="J1032">
        <v>27.52</v>
      </c>
      <c r="K1032">
        <v>112.14</v>
      </c>
      <c r="L1032">
        <v>72.39</v>
      </c>
      <c r="M1032">
        <v>49.2</v>
      </c>
      <c r="N1032">
        <v>2.44</v>
      </c>
      <c r="O1032">
        <v>0.64100000000000001</v>
      </c>
      <c r="P1032">
        <v>16.803000000000001</v>
      </c>
      <c r="Q1032">
        <v>68.47</v>
      </c>
      <c r="R1032">
        <v>1.49</v>
      </c>
      <c r="S1032">
        <v>98.51</v>
      </c>
      <c r="T1032">
        <v>38.71</v>
      </c>
      <c r="U1032">
        <v>12.86</v>
      </c>
      <c r="V1032">
        <v>54.4</v>
      </c>
      <c r="W1032">
        <v>38.6</v>
      </c>
      <c r="X1032">
        <v>13.3</v>
      </c>
    </row>
    <row r="1033" spans="1:25" x14ac:dyDescent="0.25">
      <c r="A1033" t="s">
        <v>118</v>
      </c>
      <c r="B1033" t="s">
        <v>38</v>
      </c>
      <c r="C1033" t="s">
        <v>35</v>
      </c>
      <c r="D1033">
        <v>2021</v>
      </c>
      <c r="E1033">
        <v>10416134</v>
      </c>
      <c r="F1033">
        <v>481492421258</v>
      </c>
      <c r="G1033">
        <v>171.78</v>
      </c>
      <c r="H1033">
        <v>146.21</v>
      </c>
      <c r="I1033">
        <v>1.53</v>
      </c>
      <c r="J1033">
        <v>27.25</v>
      </c>
      <c r="K1033">
        <v>115.75</v>
      </c>
      <c r="L1033">
        <v>73.89</v>
      </c>
      <c r="M1033">
        <v>52.97</v>
      </c>
      <c r="N1033">
        <v>3.06</v>
      </c>
      <c r="O1033">
        <v>0.89100000000000001</v>
      </c>
      <c r="P1033">
        <v>15.863</v>
      </c>
      <c r="Q1033">
        <v>67.382999999999996</v>
      </c>
      <c r="R1033">
        <v>1.7809999999999999</v>
      </c>
      <c r="S1033">
        <v>98.218999999999994</v>
      </c>
      <c r="T1033">
        <v>41.74</v>
      </c>
      <c r="U1033">
        <v>12.95</v>
      </c>
      <c r="V1033">
        <v>45.7</v>
      </c>
      <c r="W1033">
        <v>-1</v>
      </c>
      <c r="X1033">
        <v>3.2</v>
      </c>
    </row>
    <row r="1034" spans="1:25" x14ac:dyDescent="0.25">
      <c r="A1034" t="s">
        <v>118</v>
      </c>
      <c r="B1034" t="s">
        <v>38</v>
      </c>
      <c r="C1034" t="s">
        <v>35</v>
      </c>
      <c r="D1034">
        <v>2022</v>
      </c>
      <c r="E1034">
        <v>10487335</v>
      </c>
      <c r="F1034">
        <v>494214521158</v>
      </c>
      <c r="G1034">
        <v>173.05</v>
      </c>
      <c r="H1034">
        <v>139.83000000000001</v>
      </c>
      <c r="I1034">
        <v>1.98</v>
      </c>
      <c r="J1034">
        <v>33.25</v>
      </c>
      <c r="K1034">
        <v>118.23</v>
      </c>
      <c r="L1034">
        <v>69.87</v>
      </c>
      <c r="M1034">
        <v>51.94</v>
      </c>
      <c r="N1034">
        <v>2.88</v>
      </c>
      <c r="O1034">
        <v>1.1439999999999999</v>
      </c>
      <c r="P1034">
        <v>19.213999999999999</v>
      </c>
      <c r="Q1034">
        <v>68.320999999999998</v>
      </c>
      <c r="R1034">
        <v>1.6639999999999999</v>
      </c>
      <c r="S1034">
        <v>98.335999999999999</v>
      </c>
      <c r="T1034">
        <v>41.03</v>
      </c>
      <c r="U1034">
        <v>15.85</v>
      </c>
      <c r="V1034">
        <v>29.4</v>
      </c>
      <c r="W1034">
        <v>22</v>
      </c>
      <c r="X1034">
        <v>2.1</v>
      </c>
    </row>
    <row r="1035" spans="1:25" x14ac:dyDescent="0.25">
      <c r="A1035" t="s">
        <v>118</v>
      </c>
      <c r="B1035" t="s">
        <v>38</v>
      </c>
      <c r="C1035" t="s">
        <v>35</v>
      </c>
      <c r="D1035">
        <v>2023</v>
      </c>
      <c r="E1035">
        <v>10551493</v>
      </c>
      <c r="G1035">
        <v>166.05</v>
      </c>
      <c r="H1035">
        <v>137.56</v>
      </c>
      <c r="I1035">
        <v>3.11</v>
      </c>
      <c r="J1035">
        <v>34.25</v>
      </c>
      <c r="K1035">
        <v>115.25</v>
      </c>
      <c r="L1035">
        <v>66.19</v>
      </c>
      <c r="M1035">
        <v>48.47</v>
      </c>
      <c r="N1035">
        <v>2.33</v>
      </c>
      <c r="O1035">
        <v>1.873</v>
      </c>
      <c r="P1035">
        <v>20.626000000000001</v>
      </c>
      <c r="Q1035">
        <v>69.406999999999996</v>
      </c>
      <c r="R1035">
        <v>1.403</v>
      </c>
      <c r="S1035">
        <v>98.596999999999994</v>
      </c>
      <c r="T1035">
        <v>38.42</v>
      </c>
      <c r="U1035">
        <v>16.809999999999999</v>
      </c>
      <c r="V1035">
        <v>57.1</v>
      </c>
      <c r="W1035">
        <v>3</v>
      </c>
      <c r="X1035">
        <v>-2.5</v>
      </c>
    </row>
    <row r="1036" spans="1:25" x14ac:dyDescent="0.25">
      <c r="A1036" t="s">
        <v>118</v>
      </c>
      <c r="B1036" t="s">
        <v>38</v>
      </c>
      <c r="C1036" t="s">
        <v>35</v>
      </c>
      <c r="D1036">
        <v>2024</v>
      </c>
      <c r="E1036">
        <v>10606993</v>
      </c>
      <c r="G1036">
        <v>172.15</v>
      </c>
      <c r="H1036">
        <v>138.71</v>
      </c>
      <c r="I1036">
        <v>4.16</v>
      </c>
      <c r="J1036">
        <v>40.450000000000003</v>
      </c>
      <c r="K1036">
        <v>119.4</v>
      </c>
      <c r="L1036">
        <v>64.61</v>
      </c>
      <c r="M1036">
        <v>50.67</v>
      </c>
      <c r="N1036">
        <v>2.08</v>
      </c>
      <c r="O1036">
        <v>2.4159999999999999</v>
      </c>
      <c r="P1036">
        <v>23.497</v>
      </c>
      <c r="Q1036">
        <v>69.358000000000004</v>
      </c>
      <c r="R1036">
        <v>1.208</v>
      </c>
      <c r="S1036">
        <v>98.792000000000002</v>
      </c>
      <c r="T1036">
        <v>34.909999999999997</v>
      </c>
      <c r="U1036">
        <v>20.07</v>
      </c>
      <c r="V1036">
        <v>33.799999999999997</v>
      </c>
      <c r="W1036">
        <v>18.100000000000001</v>
      </c>
      <c r="X1036">
        <v>3.6</v>
      </c>
    </row>
    <row r="1037" spans="1:25" x14ac:dyDescent="0.25">
      <c r="A1037" t="s">
        <v>118</v>
      </c>
      <c r="B1037" t="s">
        <v>38</v>
      </c>
      <c r="C1037" t="s">
        <v>35</v>
      </c>
      <c r="D1037">
        <v>2025</v>
      </c>
      <c r="E1037">
        <v>10656636</v>
      </c>
      <c r="G1037">
        <v>170.71</v>
      </c>
      <c r="H1037">
        <v>137.11000000000001</v>
      </c>
      <c r="I1037">
        <v>4.43</v>
      </c>
      <c r="J1037">
        <v>38.9</v>
      </c>
      <c r="K1037">
        <v>121.53</v>
      </c>
      <c r="L1037">
        <v>68.239999999999995</v>
      </c>
      <c r="M1037">
        <v>47.1</v>
      </c>
      <c r="N1037">
        <v>2.08</v>
      </c>
      <c r="O1037">
        <v>2.5950000000000002</v>
      </c>
      <c r="P1037">
        <v>22.786999999999999</v>
      </c>
      <c r="Q1037">
        <v>71.191000000000003</v>
      </c>
      <c r="R1037">
        <v>1.218</v>
      </c>
      <c r="S1037">
        <v>98.781999999999996</v>
      </c>
      <c r="T1037">
        <v>35.26</v>
      </c>
      <c r="U1037">
        <v>19.5</v>
      </c>
      <c r="V1037">
        <v>6.5</v>
      </c>
      <c r="W1037">
        <v>-3.8</v>
      </c>
      <c r="X1037">
        <v>1.8</v>
      </c>
    </row>
    <row r="1038" spans="1:25" x14ac:dyDescent="0.25">
      <c r="A1038" t="s">
        <v>120</v>
      </c>
      <c r="B1038" t="s">
        <v>38</v>
      </c>
      <c r="C1038" t="s">
        <v>35</v>
      </c>
      <c r="D1038">
        <v>2000</v>
      </c>
      <c r="E1038">
        <v>7184003</v>
      </c>
      <c r="F1038">
        <v>315545366882</v>
      </c>
      <c r="G1038">
        <v>66.12</v>
      </c>
      <c r="H1038">
        <v>59.05</v>
      </c>
      <c r="I1038">
        <v>0.01</v>
      </c>
      <c r="J1038">
        <v>0</v>
      </c>
      <c r="K1038">
        <v>37.68</v>
      </c>
      <c r="L1038">
        <v>36.83</v>
      </c>
      <c r="M1038">
        <v>26.45</v>
      </c>
      <c r="N1038">
        <v>1.99</v>
      </c>
      <c r="O1038">
        <v>1.4999999999999999E-2</v>
      </c>
      <c r="P1038">
        <v>0</v>
      </c>
      <c r="Q1038">
        <v>56.987000000000002</v>
      </c>
      <c r="R1038">
        <v>3.01</v>
      </c>
      <c r="S1038">
        <v>96.99</v>
      </c>
      <c r="T1038">
        <v>33.58</v>
      </c>
      <c r="U1038">
        <v>0</v>
      </c>
    </row>
    <row r="1039" spans="1:25" x14ac:dyDescent="0.25">
      <c r="A1039" t="s">
        <v>120</v>
      </c>
      <c r="B1039" t="s">
        <v>38</v>
      </c>
      <c r="C1039" t="s">
        <v>35</v>
      </c>
      <c r="D1039">
        <v>2001</v>
      </c>
      <c r="E1039">
        <v>7226391</v>
      </c>
      <c r="F1039">
        <v>325520166982</v>
      </c>
      <c r="G1039">
        <v>71.05</v>
      </c>
      <c r="H1039">
        <v>60.61</v>
      </c>
      <c r="I1039">
        <v>0.01</v>
      </c>
      <c r="J1039">
        <v>0</v>
      </c>
      <c r="K1039">
        <v>42.2</v>
      </c>
      <c r="L1039">
        <v>41.31</v>
      </c>
      <c r="M1039">
        <v>26.81</v>
      </c>
      <c r="N1039">
        <v>2.04</v>
      </c>
      <c r="O1039">
        <v>1.4E-2</v>
      </c>
      <c r="P1039">
        <v>0</v>
      </c>
      <c r="Q1039">
        <v>59.395000000000003</v>
      </c>
      <c r="R1039">
        <v>2.871</v>
      </c>
      <c r="S1039">
        <v>97.129000000000005</v>
      </c>
      <c r="T1039">
        <v>33.36</v>
      </c>
      <c r="U1039">
        <v>0</v>
      </c>
      <c r="V1039">
        <v>0</v>
      </c>
      <c r="X1039">
        <v>12</v>
      </c>
    </row>
    <row r="1040" spans="1:25" x14ac:dyDescent="0.25">
      <c r="A1040" t="s">
        <v>120</v>
      </c>
      <c r="B1040" t="s">
        <v>38</v>
      </c>
      <c r="C1040" t="s">
        <v>35</v>
      </c>
      <c r="D1040">
        <v>2002</v>
      </c>
      <c r="E1040">
        <v>7278744</v>
      </c>
      <c r="F1040">
        <v>331802188855</v>
      </c>
      <c r="G1040">
        <v>65.41</v>
      </c>
      <c r="H1040">
        <v>60.9</v>
      </c>
      <c r="I1040">
        <v>0.01</v>
      </c>
      <c r="J1040">
        <v>0</v>
      </c>
      <c r="K1040">
        <v>36.1</v>
      </c>
      <c r="L1040">
        <v>35.17</v>
      </c>
      <c r="M1040">
        <v>27.23</v>
      </c>
      <c r="N1040">
        <v>2.08</v>
      </c>
      <c r="O1040">
        <v>1.4999999999999999E-2</v>
      </c>
      <c r="P1040">
        <v>0</v>
      </c>
      <c r="Q1040">
        <v>55.19</v>
      </c>
      <c r="R1040">
        <v>3.18</v>
      </c>
      <c r="S1040">
        <v>96.82</v>
      </c>
      <c r="T1040">
        <v>34.25</v>
      </c>
      <c r="U1040">
        <v>0</v>
      </c>
      <c r="V1040">
        <v>0</v>
      </c>
      <c r="X1040">
        <v>-14.5</v>
      </c>
    </row>
    <row r="1041" spans="1:24" x14ac:dyDescent="0.25">
      <c r="A1041" t="s">
        <v>120</v>
      </c>
      <c r="B1041" t="s">
        <v>38</v>
      </c>
      <c r="C1041" t="s">
        <v>35</v>
      </c>
      <c r="D1041">
        <v>2003</v>
      </c>
      <c r="E1041">
        <v>7333451</v>
      </c>
      <c r="F1041">
        <v>337991874208</v>
      </c>
      <c r="G1041">
        <v>65.34</v>
      </c>
      <c r="H1041">
        <v>62.23</v>
      </c>
      <c r="I1041">
        <v>0.02</v>
      </c>
      <c r="J1041">
        <v>0</v>
      </c>
      <c r="K1041">
        <v>35.72</v>
      </c>
      <c r="L1041">
        <v>34.76</v>
      </c>
      <c r="M1041">
        <v>27.49</v>
      </c>
      <c r="N1041">
        <v>2.13</v>
      </c>
      <c r="O1041">
        <v>3.1E-2</v>
      </c>
      <c r="P1041">
        <v>0</v>
      </c>
      <c r="Q1041">
        <v>54.667999999999999</v>
      </c>
      <c r="R1041">
        <v>3.26</v>
      </c>
      <c r="S1041">
        <v>96.74</v>
      </c>
      <c r="T1041">
        <v>34.44</v>
      </c>
      <c r="U1041">
        <v>0.01</v>
      </c>
      <c r="V1041">
        <v>100</v>
      </c>
      <c r="X1041">
        <v>-1.1000000000000001</v>
      </c>
    </row>
    <row r="1042" spans="1:24" x14ac:dyDescent="0.25">
      <c r="A1042" t="s">
        <v>120</v>
      </c>
      <c r="B1042" t="s">
        <v>38</v>
      </c>
      <c r="C1042" t="s">
        <v>35</v>
      </c>
      <c r="D1042">
        <v>2004</v>
      </c>
      <c r="E1042">
        <v>7384196</v>
      </c>
      <c r="F1042">
        <v>353894703206</v>
      </c>
      <c r="G1042">
        <v>63.87</v>
      </c>
      <c r="H1042">
        <v>63.17</v>
      </c>
      <c r="I1042">
        <v>0.02</v>
      </c>
      <c r="J1042">
        <v>0.01</v>
      </c>
      <c r="K1042">
        <v>34.76</v>
      </c>
      <c r="L1042">
        <v>33.75</v>
      </c>
      <c r="M1042">
        <v>26.96</v>
      </c>
      <c r="N1042">
        <v>2.15</v>
      </c>
      <c r="O1042">
        <v>3.1E-2</v>
      </c>
      <c r="P1042">
        <v>1.6E-2</v>
      </c>
      <c r="Q1042">
        <v>54.423000000000002</v>
      </c>
      <c r="R1042">
        <v>3.3660000000000001</v>
      </c>
      <c r="S1042">
        <v>96.634</v>
      </c>
      <c r="T1042">
        <v>35.229999999999997</v>
      </c>
      <c r="U1042">
        <v>0.01</v>
      </c>
      <c r="V1042">
        <v>0</v>
      </c>
      <c r="X1042">
        <v>-2.7</v>
      </c>
    </row>
    <row r="1043" spans="1:24" x14ac:dyDescent="0.25">
      <c r="A1043" t="s">
        <v>120</v>
      </c>
      <c r="B1043" t="s">
        <v>38</v>
      </c>
      <c r="C1043" t="s">
        <v>35</v>
      </c>
      <c r="D1043">
        <v>2005</v>
      </c>
      <c r="E1043">
        <v>7431824</v>
      </c>
      <c r="F1043">
        <v>371135459405</v>
      </c>
      <c r="G1043">
        <v>57.8</v>
      </c>
      <c r="H1043">
        <v>64.150000000000006</v>
      </c>
      <c r="I1043">
        <v>0.02</v>
      </c>
      <c r="J1043">
        <v>0.01</v>
      </c>
      <c r="K1043">
        <v>32.29</v>
      </c>
      <c r="L1043">
        <v>31.23</v>
      </c>
      <c r="M1043">
        <v>23.34</v>
      </c>
      <c r="N1043">
        <v>2.17</v>
      </c>
      <c r="O1043">
        <v>3.5000000000000003E-2</v>
      </c>
      <c r="P1043">
        <v>1.7000000000000001E-2</v>
      </c>
      <c r="Q1043">
        <v>55.865000000000002</v>
      </c>
      <c r="R1043">
        <v>3.754</v>
      </c>
      <c r="S1043">
        <v>96.245999999999995</v>
      </c>
      <c r="T1043">
        <v>38.06</v>
      </c>
      <c r="U1043">
        <v>0.01</v>
      </c>
      <c r="V1043">
        <v>0</v>
      </c>
      <c r="W1043">
        <v>0</v>
      </c>
      <c r="X1043">
        <v>-7.1</v>
      </c>
    </row>
    <row r="1044" spans="1:24" x14ac:dyDescent="0.25">
      <c r="A1044" t="s">
        <v>120</v>
      </c>
      <c r="B1044" t="s">
        <v>38</v>
      </c>
      <c r="C1044" t="s">
        <v>35</v>
      </c>
      <c r="D1044">
        <v>2006</v>
      </c>
      <c r="E1044">
        <v>7478514</v>
      </c>
      <c r="F1044">
        <v>393075108386</v>
      </c>
      <c r="G1044">
        <v>62.13</v>
      </c>
      <c r="H1044">
        <v>64.83</v>
      </c>
      <c r="I1044">
        <v>0.02</v>
      </c>
      <c r="J1044">
        <v>0.01</v>
      </c>
      <c r="K1044">
        <v>32.130000000000003</v>
      </c>
      <c r="L1044">
        <v>30.96</v>
      </c>
      <c r="M1044">
        <v>27.82</v>
      </c>
      <c r="N1044">
        <v>2.1800000000000002</v>
      </c>
      <c r="O1044">
        <v>3.2000000000000001E-2</v>
      </c>
      <c r="P1044">
        <v>1.6E-2</v>
      </c>
      <c r="Q1044">
        <v>51.713999999999999</v>
      </c>
      <c r="R1044">
        <v>3.5089999999999999</v>
      </c>
      <c r="S1044">
        <v>96.491</v>
      </c>
      <c r="T1044">
        <v>36.21</v>
      </c>
      <c r="U1044">
        <v>0.01</v>
      </c>
      <c r="V1044">
        <v>0</v>
      </c>
      <c r="W1044">
        <v>0</v>
      </c>
      <c r="X1044">
        <v>-0.5</v>
      </c>
    </row>
    <row r="1045" spans="1:24" x14ac:dyDescent="0.25">
      <c r="A1045" t="s">
        <v>120</v>
      </c>
      <c r="B1045" t="s">
        <v>38</v>
      </c>
      <c r="C1045" t="s">
        <v>35</v>
      </c>
      <c r="D1045">
        <v>2007</v>
      </c>
      <c r="E1045">
        <v>7545386</v>
      </c>
      <c r="F1045">
        <v>416832821635</v>
      </c>
      <c r="G1045">
        <v>66.430000000000007</v>
      </c>
      <c r="H1045">
        <v>64.37</v>
      </c>
      <c r="I1045">
        <v>0.03</v>
      </c>
      <c r="J1045">
        <v>0.02</v>
      </c>
      <c r="K1045">
        <v>36.479999999999997</v>
      </c>
      <c r="L1045">
        <v>35.25</v>
      </c>
      <c r="M1045">
        <v>27.92</v>
      </c>
      <c r="N1045">
        <v>2.0299999999999998</v>
      </c>
      <c r="O1045">
        <v>4.4999999999999998E-2</v>
      </c>
      <c r="P1045">
        <v>0.03</v>
      </c>
      <c r="Q1045">
        <v>54.914999999999999</v>
      </c>
      <c r="R1045">
        <v>3.056</v>
      </c>
      <c r="S1045">
        <v>96.944000000000003</v>
      </c>
      <c r="T1045">
        <v>34.47</v>
      </c>
      <c r="U1045">
        <v>0.02</v>
      </c>
      <c r="V1045">
        <v>50</v>
      </c>
      <c r="W1045">
        <v>100</v>
      </c>
      <c r="X1045">
        <v>13.5</v>
      </c>
    </row>
    <row r="1046" spans="1:24" x14ac:dyDescent="0.25">
      <c r="A1046" t="s">
        <v>120</v>
      </c>
      <c r="B1046" t="s">
        <v>38</v>
      </c>
      <c r="C1046" t="s">
        <v>35</v>
      </c>
      <c r="D1046">
        <v>2008</v>
      </c>
      <c r="E1046">
        <v>7641730</v>
      </c>
      <c r="F1046">
        <v>433739216893</v>
      </c>
      <c r="G1046">
        <v>67.040000000000006</v>
      </c>
      <c r="H1046">
        <v>65.91</v>
      </c>
      <c r="I1046">
        <v>0.04</v>
      </c>
      <c r="J1046">
        <v>0.02</v>
      </c>
      <c r="K1046">
        <v>37.33</v>
      </c>
      <c r="L1046">
        <v>36.04</v>
      </c>
      <c r="M1046">
        <v>27.7</v>
      </c>
      <c r="N1046">
        <v>2.0099999999999998</v>
      </c>
      <c r="O1046">
        <v>0.06</v>
      </c>
      <c r="P1046">
        <v>0.03</v>
      </c>
      <c r="Q1046">
        <v>55.683</v>
      </c>
      <c r="R1046">
        <v>2.9980000000000002</v>
      </c>
      <c r="S1046">
        <v>97.001999999999995</v>
      </c>
      <c r="T1046">
        <v>34.159999999999997</v>
      </c>
      <c r="U1046">
        <v>0.03</v>
      </c>
      <c r="V1046">
        <v>33.299999999999997</v>
      </c>
      <c r="W1046">
        <v>0</v>
      </c>
      <c r="X1046">
        <v>2.2999999999999998</v>
      </c>
    </row>
    <row r="1047" spans="1:24" x14ac:dyDescent="0.25">
      <c r="A1047" t="s">
        <v>120</v>
      </c>
      <c r="B1047" t="s">
        <v>38</v>
      </c>
      <c r="C1047" t="s">
        <v>35</v>
      </c>
      <c r="D1047">
        <v>2009</v>
      </c>
      <c r="E1047">
        <v>7737644</v>
      </c>
      <c r="F1047">
        <v>431737407420</v>
      </c>
      <c r="G1047">
        <v>66.67</v>
      </c>
      <c r="H1047">
        <v>64.510000000000005</v>
      </c>
      <c r="I1047">
        <v>0.05</v>
      </c>
      <c r="J1047">
        <v>0.02</v>
      </c>
      <c r="K1047">
        <v>37.03</v>
      </c>
      <c r="L1047">
        <v>35.72</v>
      </c>
      <c r="M1047">
        <v>27.69</v>
      </c>
      <c r="N1047">
        <v>1.95</v>
      </c>
      <c r="O1047">
        <v>7.4999999999999997E-2</v>
      </c>
      <c r="P1047">
        <v>0.03</v>
      </c>
      <c r="Q1047">
        <v>55.542000000000002</v>
      </c>
      <c r="R1047">
        <v>2.9249999999999998</v>
      </c>
      <c r="S1047">
        <v>97.075000000000003</v>
      </c>
      <c r="T1047">
        <v>34.049999999999997</v>
      </c>
      <c r="U1047">
        <v>0.03</v>
      </c>
      <c r="V1047">
        <v>25</v>
      </c>
      <c r="W1047">
        <v>0</v>
      </c>
      <c r="X1047">
        <v>-0.8</v>
      </c>
    </row>
    <row r="1048" spans="1:24" x14ac:dyDescent="0.25">
      <c r="A1048" t="s">
        <v>120</v>
      </c>
      <c r="B1048" t="s">
        <v>38</v>
      </c>
      <c r="C1048" t="s">
        <v>35</v>
      </c>
      <c r="D1048">
        <v>2010</v>
      </c>
      <c r="E1048">
        <v>7825750</v>
      </c>
      <c r="F1048">
        <v>451139715920</v>
      </c>
      <c r="G1048">
        <v>66.05</v>
      </c>
      <c r="H1048">
        <v>66.569999999999993</v>
      </c>
      <c r="I1048">
        <v>0.09</v>
      </c>
      <c r="J1048">
        <v>0.04</v>
      </c>
      <c r="K1048">
        <v>37.47</v>
      </c>
      <c r="L1048">
        <v>36.06</v>
      </c>
      <c r="M1048">
        <v>26.34</v>
      </c>
      <c r="N1048">
        <v>2.2400000000000002</v>
      </c>
      <c r="O1048">
        <v>0.13600000000000001</v>
      </c>
      <c r="P1048">
        <v>6.0999999999999999E-2</v>
      </c>
      <c r="Q1048">
        <v>56.73</v>
      </c>
      <c r="R1048">
        <v>3.391</v>
      </c>
      <c r="S1048">
        <v>96.608999999999995</v>
      </c>
      <c r="T1048">
        <v>35.880000000000003</v>
      </c>
      <c r="U1048">
        <v>0.06</v>
      </c>
      <c r="V1048">
        <v>80</v>
      </c>
      <c r="W1048">
        <v>100</v>
      </c>
      <c r="X1048">
        <v>1.2</v>
      </c>
    </row>
    <row r="1049" spans="1:24" x14ac:dyDescent="0.25">
      <c r="A1049" t="s">
        <v>120</v>
      </c>
      <c r="B1049" t="s">
        <v>38</v>
      </c>
      <c r="C1049" t="s">
        <v>35</v>
      </c>
      <c r="D1049">
        <v>2011</v>
      </c>
      <c r="E1049">
        <v>7914379</v>
      </c>
      <c r="F1049">
        <v>467103594697</v>
      </c>
      <c r="G1049">
        <v>62.88</v>
      </c>
      <c r="H1049">
        <v>65.47</v>
      </c>
      <c r="I1049">
        <v>0.17</v>
      </c>
      <c r="J1049">
        <v>7.0000000000000007E-2</v>
      </c>
      <c r="K1049">
        <v>34.020000000000003</v>
      </c>
      <c r="L1049">
        <v>32.39</v>
      </c>
      <c r="M1049">
        <v>26.71</v>
      </c>
      <c r="N1049">
        <v>2.15</v>
      </c>
      <c r="O1049">
        <v>0.27</v>
      </c>
      <c r="P1049">
        <v>0.111</v>
      </c>
      <c r="Q1049">
        <v>54.103000000000002</v>
      </c>
      <c r="R1049">
        <v>3.419</v>
      </c>
      <c r="S1049">
        <v>96.581000000000003</v>
      </c>
      <c r="T1049">
        <v>36.26</v>
      </c>
      <c r="U1049">
        <v>0.11</v>
      </c>
      <c r="V1049">
        <v>88.9</v>
      </c>
      <c r="W1049">
        <v>75</v>
      </c>
      <c r="X1049">
        <v>-9.1999999999999993</v>
      </c>
    </row>
    <row r="1050" spans="1:24" x14ac:dyDescent="0.25">
      <c r="A1050" t="s">
        <v>120</v>
      </c>
      <c r="B1050" t="s">
        <v>38</v>
      </c>
      <c r="C1050" t="s">
        <v>35</v>
      </c>
      <c r="D1050">
        <v>2012</v>
      </c>
      <c r="E1050">
        <v>7998927</v>
      </c>
      <c r="F1050">
        <v>472611933649</v>
      </c>
      <c r="G1050">
        <v>68.13</v>
      </c>
      <c r="H1050">
        <v>65.930000000000007</v>
      </c>
      <c r="I1050">
        <v>0.3</v>
      </c>
      <c r="J1050">
        <v>0.09</v>
      </c>
      <c r="K1050">
        <v>40.53</v>
      </c>
      <c r="L1050">
        <v>38.6</v>
      </c>
      <c r="M1050">
        <v>25.44</v>
      </c>
      <c r="N1050">
        <v>2.16</v>
      </c>
      <c r="O1050">
        <v>0.44</v>
      </c>
      <c r="P1050">
        <v>0.13200000000000001</v>
      </c>
      <c r="Q1050">
        <v>59.488999999999997</v>
      </c>
      <c r="R1050">
        <v>3.17</v>
      </c>
      <c r="S1050">
        <v>96.83</v>
      </c>
      <c r="T1050">
        <v>36.25</v>
      </c>
      <c r="U1050">
        <v>0.18</v>
      </c>
      <c r="V1050">
        <v>76.5</v>
      </c>
      <c r="W1050">
        <v>28.6</v>
      </c>
      <c r="X1050">
        <v>19.100000000000001</v>
      </c>
    </row>
    <row r="1051" spans="1:24" x14ac:dyDescent="0.25">
      <c r="A1051" t="s">
        <v>120</v>
      </c>
      <c r="B1051" t="s">
        <v>38</v>
      </c>
      <c r="C1051" t="s">
        <v>35</v>
      </c>
      <c r="D1051">
        <v>2013</v>
      </c>
      <c r="E1051">
        <v>8091199</v>
      </c>
      <c r="F1051">
        <v>481081829913</v>
      </c>
      <c r="G1051">
        <v>68.69</v>
      </c>
      <c r="H1051">
        <v>66.290000000000006</v>
      </c>
      <c r="I1051">
        <v>0.5</v>
      </c>
      <c r="J1051">
        <v>0.09</v>
      </c>
      <c r="K1051">
        <v>40.67</v>
      </c>
      <c r="L1051">
        <v>38.46</v>
      </c>
      <c r="M1051">
        <v>25.99</v>
      </c>
      <c r="N1051">
        <v>2.0299999999999998</v>
      </c>
      <c r="O1051">
        <v>0.72799999999999998</v>
      </c>
      <c r="P1051">
        <v>0.13100000000000001</v>
      </c>
      <c r="Q1051">
        <v>59.207999999999998</v>
      </c>
      <c r="R1051">
        <v>2.9550000000000001</v>
      </c>
      <c r="S1051">
        <v>97.045000000000002</v>
      </c>
      <c r="T1051">
        <v>35.520000000000003</v>
      </c>
      <c r="U1051">
        <v>0.27</v>
      </c>
      <c r="V1051">
        <v>66.7</v>
      </c>
      <c r="W1051">
        <v>0</v>
      </c>
      <c r="X1051">
        <v>0.3</v>
      </c>
    </row>
    <row r="1052" spans="1:24" x14ac:dyDescent="0.25">
      <c r="A1052" t="s">
        <v>120</v>
      </c>
      <c r="B1052" t="s">
        <v>38</v>
      </c>
      <c r="C1052" t="s">
        <v>35</v>
      </c>
      <c r="D1052">
        <v>2014</v>
      </c>
      <c r="E1052">
        <v>8190238</v>
      </c>
      <c r="F1052">
        <v>492386642888</v>
      </c>
      <c r="G1052">
        <v>70.08</v>
      </c>
      <c r="H1052">
        <v>64.59</v>
      </c>
      <c r="I1052">
        <v>0.84</v>
      </c>
      <c r="J1052">
        <v>0.1</v>
      </c>
      <c r="K1052">
        <v>40.67</v>
      </c>
      <c r="L1052">
        <v>38.04</v>
      </c>
      <c r="M1052">
        <v>27.56</v>
      </c>
      <c r="N1052">
        <v>1.85</v>
      </c>
      <c r="O1052">
        <v>1.1990000000000001</v>
      </c>
      <c r="P1052">
        <v>0.14299999999999999</v>
      </c>
      <c r="Q1052">
        <v>58.033999999999999</v>
      </c>
      <c r="R1052">
        <v>2.64</v>
      </c>
      <c r="S1052">
        <v>97.36</v>
      </c>
      <c r="T1052">
        <v>34.39</v>
      </c>
      <c r="U1052">
        <v>0.42</v>
      </c>
      <c r="V1052">
        <v>68</v>
      </c>
      <c r="W1052">
        <v>11.1</v>
      </c>
      <c r="X1052">
        <v>0</v>
      </c>
    </row>
    <row r="1053" spans="1:24" x14ac:dyDescent="0.25">
      <c r="A1053" t="s">
        <v>120</v>
      </c>
      <c r="B1053" t="s">
        <v>38</v>
      </c>
      <c r="C1053" t="s">
        <v>35</v>
      </c>
      <c r="D1053">
        <v>2015</v>
      </c>
      <c r="E1053">
        <v>8283940</v>
      </c>
      <c r="F1053">
        <v>500484653705</v>
      </c>
      <c r="G1053">
        <v>66.069999999999993</v>
      </c>
      <c r="H1053">
        <v>65.040000000000006</v>
      </c>
      <c r="I1053">
        <v>1.1200000000000001</v>
      </c>
      <c r="J1053">
        <v>0.11</v>
      </c>
      <c r="K1053">
        <v>41.12</v>
      </c>
      <c r="L1053">
        <v>38.26</v>
      </c>
      <c r="M1053">
        <v>23.09</v>
      </c>
      <c r="N1053">
        <v>1.86</v>
      </c>
      <c r="O1053">
        <v>1.6950000000000001</v>
      </c>
      <c r="P1053">
        <v>0.16600000000000001</v>
      </c>
      <c r="Q1053">
        <v>62.237000000000002</v>
      </c>
      <c r="R1053">
        <v>2.8149999999999999</v>
      </c>
      <c r="S1053">
        <v>97.185000000000002</v>
      </c>
      <c r="T1053">
        <v>35.57</v>
      </c>
      <c r="U1053">
        <v>0.55000000000000004</v>
      </c>
      <c r="V1053">
        <v>33.299999999999997</v>
      </c>
      <c r="W1053">
        <v>10</v>
      </c>
      <c r="X1053">
        <v>1.1000000000000001</v>
      </c>
    </row>
    <row r="1054" spans="1:24" x14ac:dyDescent="0.25">
      <c r="A1054" t="s">
        <v>120</v>
      </c>
      <c r="B1054" t="s">
        <v>38</v>
      </c>
      <c r="C1054" t="s">
        <v>35</v>
      </c>
      <c r="D1054">
        <v>2016</v>
      </c>
      <c r="E1054">
        <v>8374903</v>
      </c>
      <c r="F1054">
        <v>510838097521</v>
      </c>
      <c r="G1054">
        <v>61.1</v>
      </c>
      <c r="H1054">
        <v>65.02</v>
      </c>
      <c r="I1054">
        <v>1.33</v>
      </c>
      <c r="J1054">
        <v>0.11</v>
      </c>
      <c r="K1054">
        <v>37.81</v>
      </c>
      <c r="L1054">
        <v>34.619999999999997</v>
      </c>
      <c r="M1054">
        <v>21.15</v>
      </c>
      <c r="N1054">
        <v>2.14</v>
      </c>
      <c r="O1054">
        <v>2.177</v>
      </c>
      <c r="P1054">
        <v>0.18</v>
      </c>
      <c r="Q1054">
        <v>61.881999999999998</v>
      </c>
      <c r="R1054">
        <v>3.5019999999999998</v>
      </c>
      <c r="S1054">
        <v>96.498000000000005</v>
      </c>
      <c r="T1054">
        <v>39.44</v>
      </c>
      <c r="U1054">
        <v>0.65</v>
      </c>
      <c r="V1054">
        <v>18.8</v>
      </c>
      <c r="W1054">
        <v>0</v>
      </c>
      <c r="X1054">
        <v>-8</v>
      </c>
    </row>
    <row r="1055" spans="1:24" x14ac:dyDescent="0.25">
      <c r="A1055" t="s">
        <v>120</v>
      </c>
      <c r="B1055" t="s">
        <v>38</v>
      </c>
      <c r="C1055" t="s">
        <v>35</v>
      </c>
      <c r="D1055">
        <v>2017</v>
      </c>
      <c r="E1055">
        <v>8453630</v>
      </c>
      <c r="F1055">
        <v>517799793781</v>
      </c>
      <c r="G1055">
        <v>60.15</v>
      </c>
      <c r="H1055">
        <v>65.7</v>
      </c>
      <c r="I1055">
        <v>1.68</v>
      </c>
      <c r="J1055">
        <v>0.13</v>
      </c>
      <c r="K1055">
        <v>37.76</v>
      </c>
      <c r="L1055">
        <v>34.090000000000003</v>
      </c>
      <c r="M1055">
        <v>20.38</v>
      </c>
      <c r="N1055">
        <v>2.0099999999999998</v>
      </c>
      <c r="O1055">
        <v>2.7930000000000001</v>
      </c>
      <c r="P1055">
        <v>0.216</v>
      </c>
      <c r="Q1055">
        <v>62.776000000000003</v>
      </c>
      <c r="R1055">
        <v>3.3420000000000001</v>
      </c>
      <c r="S1055">
        <v>96.658000000000001</v>
      </c>
      <c r="T1055">
        <v>39.729999999999997</v>
      </c>
      <c r="U1055">
        <v>0.81</v>
      </c>
      <c r="V1055">
        <v>26.3</v>
      </c>
      <c r="W1055">
        <v>18.2</v>
      </c>
      <c r="X1055">
        <v>-0.1</v>
      </c>
    </row>
    <row r="1056" spans="1:24" x14ac:dyDescent="0.25">
      <c r="A1056" t="s">
        <v>120</v>
      </c>
      <c r="B1056" t="s">
        <v>38</v>
      </c>
      <c r="C1056" t="s">
        <v>35</v>
      </c>
      <c r="D1056">
        <v>2018</v>
      </c>
      <c r="E1056">
        <v>8516341</v>
      </c>
      <c r="F1056">
        <v>532611137213</v>
      </c>
      <c r="G1056">
        <v>66.290000000000006</v>
      </c>
      <c r="H1056">
        <v>64.7</v>
      </c>
      <c r="I1056">
        <v>1.95</v>
      </c>
      <c r="J1056">
        <v>0.12</v>
      </c>
      <c r="K1056">
        <v>38.880000000000003</v>
      </c>
      <c r="L1056">
        <v>34.979999999999997</v>
      </c>
      <c r="M1056">
        <v>25.51</v>
      </c>
      <c r="N1056">
        <v>1.9</v>
      </c>
      <c r="O1056">
        <v>2.9420000000000002</v>
      </c>
      <c r="P1056">
        <v>0.18099999999999999</v>
      </c>
      <c r="Q1056">
        <v>58.651000000000003</v>
      </c>
      <c r="R1056">
        <v>2.8660000000000001</v>
      </c>
      <c r="S1056">
        <v>97.134</v>
      </c>
      <c r="T1056">
        <v>36.049999999999997</v>
      </c>
      <c r="U1056">
        <v>0.93</v>
      </c>
      <c r="V1056">
        <v>16.100000000000001</v>
      </c>
      <c r="W1056">
        <v>-7.7</v>
      </c>
      <c r="X1056">
        <v>3</v>
      </c>
    </row>
    <row r="1057" spans="1:25" x14ac:dyDescent="0.25">
      <c r="A1057" t="s">
        <v>120</v>
      </c>
      <c r="B1057" t="s">
        <v>38</v>
      </c>
      <c r="C1057" t="s">
        <v>35</v>
      </c>
      <c r="D1057">
        <v>2019</v>
      </c>
      <c r="E1057">
        <v>8577525</v>
      </c>
      <c r="F1057">
        <v>538693495449</v>
      </c>
      <c r="G1057">
        <v>70.569999999999993</v>
      </c>
      <c r="H1057">
        <v>64.31</v>
      </c>
      <c r="I1057">
        <v>2.1800000000000002</v>
      </c>
      <c r="J1057">
        <v>0.15</v>
      </c>
      <c r="K1057">
        <v>42.25</v>
      </c>
      <c r="L1057">
        <v>38.04</v>
      </c>
      <c r="M1057">
        <v>26.42</v>
      </c>
      <c r="N1057">
        <v>1.9</v>
      </c>
      <c r="O1057">
        <v>3.089</v>
      </c>
      <c r="P1057">
        <v>0.21299999999999999</v>
      </c>
      <c r="Q1057">
        <v>59.87</v>
      </c>
      <c r="R1057">
        <v>2.6920000000000002</v>
      </c>
      <c r="S1057">
        <v>97.308000000000007</v>
      </c>
      <c r="T1057">
        <v>35.28</v>
      </c>
      <c r="U1057">
        <v>1.05</v>
      </c>
      <c r="V1057">
        <v>11.8</v>
      </c>
      <c r="W1057">
        <v>25</v>
      </c>
      <c r="X1057">
        <v>8.6999999999999993</v>
      </c>
      <c r="Y1057" t="s">
        <v>121</v>
      </c>
    </row>
    <row r="1058" spans="1:25" x14ac:dyDescent="0.25">
      <c r="A1058" t="s">
        <v>120</v>
      </c>
      <c r="B1058" t="s">
        <v>38</v>
      </c>
      <c r="C1058" t="s">
        <v>35</v>
      </c>
      <c r="D1058">
        <v>2020</v>
      </c>
      <c r="E1058">
        <v>8640582</v>
      </c>
      <c r="F1058">
        <v>525896489462</v>
      </c>
      <c r="G1058">
        <v>68.5</v>
      </c>
      <c r="H1058">
        <v>62.94</v>
      </c>
      <c r="I1058">
        <v>2.6</v>
      </c>
      <c r="J1058">
        <v>0.15</v>
      </c>
      <c r="K1058">
        <v>42.61</v>
      </c>
      <c r="L1058">
        <v>37.869999999999997</v>
      </c>
      <c r="M1058">
        <v>24.02</v>
      </c>
      <c r="N1058">
        <v>1.87</v>
      </c>
      <c r="O1058">
        <v>3.7959999999999998</v>
      </c>
      <c r="P1058">
        <v>0.219</v>
      </c>
      <c r="Q1058">
        <v>62.204000000000001</v>
      </c>
      <c r="R1058">
        <v>2.73</v>
      </c>
      <c r="S1058">
        <v>97.27</v>
      </c>
      <c r="T1058">
        <v>36.64</v>
      </c>
      <c r="U1058">
        <v>1.24</v>
      </c>
      <c r="V1058">
        <v>19.3</v>
      </c>
      <c r="W1058">
        <v>0</v>
      </c>
      <c r="X1058">
        <v>0.9</v>
      </c>
    </row>
    <row r="1059" spans="1:25" x14ac:dyDescent="0.25">
      <c r="A1059" t="s">
        <v>120</v>
      </c>
      <c r="B1059" t="s">
        <v>38</v>
      </c>
      <c r="C1059" t="s">
        <v>35</v>
      </c>
      <c r="D1059">
        <v>2021</v>
      </c>
      <c r="E1059">
        <v>8707019</v>
      </c>
      <c r="F1059">
        <v>548098275898</v>
      </c>
      <c r="G1059">
        <v>63.09</v>
      </c>
      <c r="H1059">
        <v>65.5</v>
      </c>
      <c r="I1059">
        <v>2.84</v>
      </c>
      <c r="J1059">
        <v>0.14000000000000001</v>
      </c>
      <c r="K1059">
        <v>42.01</v>
      </c>
      <c r="L1059">
        <v>36.96</v>
      </c>
      <c r="M1059">
        <v>19.36</v>
      </c>
      <c r="N1059">
        <v>1.72</v>
      </c>
      <c r="O1059">
        <v>4.5019999999999998</v>
      </c>
      <c r="P1059">
        <v>0.222</v>
      </c>
      <c r="Q1059">
        <v>66.587000000000003</v>
      </c>
      <c r="R1059">
        <v>2.726</v>
      </c>
      <c r="S1059">
        <v>97.274000000000001</v>
      </c>
      <c r="T1059">
        <v>38.520000000000003</v>
      </c>
      <c r="U1059">
        <v>1.34</v>
      </c>
      <c r="V1059">
        <v>9.1999999999999993</v>
      </c>
      <c r="W1059">
        <v>-6.7</v>
      </c>
      <c r="X1059">
        <v>-1.4</v>
      </c>
    </row>
    <row r="1060" spans="1:25" x14ac:dyDescent="0.25">
      <c r="A1060" t="s">
        <v>120</v>
      </c>
      <c r="B1060" t="s">
        <v>38</v>
      </c>
      <c r="C1060" t="s">
        <v>35</v>
      </c>
      <c r="D1060">
        <v>2022</v>
      </c>
      <c r="E1060">
        <v>8792180</v>
      </c>
      <c r="F1060">
        <v>559384947989</v>
      </c>
      <c r="G1060">
        <v>61.72</v>
      </c>
      <c r="H1060">
        <v>64.86</v>
      </c>
      <c r="I1060">
        <v>3.86</v>
      </c>
      <c r="J1060">
        <v>0.15</v>
      </c>
      <c r="K1060">
        <v>35.99</v>
      </c>
      <c r="L1060">
        <v>29.9</v>
      </c>
      <c r="M1060">
        <v>24.15</v>
      </c>
      <c r="N1060">
        <v>1.58</v>
      </c>
      <c r="O1060">
        <v>6.2539999999999996</v>
      </c>
      <c r="P1060">
        <v>0.24299999999999999</v>
      </c>
      <c r="Q1060">
        <v>58.311999999999998</v>
      </c>
      <c r="R1060">
        <v>2.56</v>
      </c>
      <c r="S1060">
        <v>97.44</v>
      </c>
      <c r="T1060">
        <v>37.270000000000003</v>
      </c>
      <c r="U1060">
        <v>1.8</v>
      </c>
      <c r="V1060">
        <v>35.9</v>
      </c>
      <c r="W1060">
        <v>7.1</v>
      </c>
      <c r="X1060">
        <v>-14.3</v>
      </c>
    </row>
    <row r="1061" spans="1:25" x14ac:dyDescent="0.25">
      <c r="A1061" t="s">
        <v>120</v>
      </c>
      <c r="B1061" t="s">
        <v>38</v>
      </c>
      <c r="C1061" t="s">
        <v>35</v>
      </c>
      <c r="D1061">
        <v>2023</v>
      </c>
      <c r="E1061">
        <v>8870564</v>
      </c>
      <c r="G1061">
        <v>70.069999999999993</v>
      </c>
      <c r="H1061">
        <v>63.68</v>
      </c>
      <c r="I1061">
        <v>4.62</v>
      </c>
      <c r="J1061">
        <v>0.17</v>
      </c>
      <c r="K1061">
        <v>44.26</v>
      </c>
      <c r="L1061">
        <v>37.39</v>
      </c>
      <c r="M1061">
        <v>24.38</v>
      </c>
      <c r="N1061">
        <v>1.43</v>
      </c>
      <c r="O1061">
        <v>6.593</v>
      </c>
      <c r="P1061">
        <v>0.24299999999999999</v>
      </c>
      <c r="Q1061">
        <v>63.164999999999999</v>
      </c>
      <c r="R1061">
        <v>2.0409999999999999</v>
      </c>
      <c r="S1061">
        <v>97.959000000000003</v>
      </c>
      <c r="T1061">
        <v>34.82</v>
      </c>
      <c r="U1061">
        <v>2.16</v>
      </c>
      <c r="V1061">
        <v>19.7</v>
      </c>
      <c r="W1061">
        <v>13.3</v>
      </c>
      <c r="X1061">
        <v>23</v>
      </c>
    </row>
    <row r="1062" spans="1:25" x14ac:dyDescent="0.25">
      <c r="A1062" t="s">
        <v>120</v>
      </c>
      <c r="B1062" t="s">
        <v>38</v>
      </c>
      <c r="C1062" t="s">
        <v>35</v>
      </c>
      <c r="D1062">
        <v>2024</v>
      </c>
      <c r="E1062">
        <v>8921979</v>
      </c>
      <c r="G1062">
        <v>78.37</v>
      </c>
      <c r="H1062">
        <v>63.97</v>
      </c>
      <c r="I1062">
        <v>5.66</v>
      </c>
      <c r="J1062">
        <v>0.18</v>
      </c>
      <c r="K1062">
        <v>52.86</v>
      </c>
      <c r="L1062">
        <v>44.94</v>
      </c>
      <c r="M1062">
        <v>24.02</v>
      </c>
      <c r="N1062">
        <v>1.49</v>
      </c>
      <c r="O1062">
        <v>7.2220000000000004</v>
      </c>
      <c r="P1062">
        <v>0.23</v>
      </c>
      <c r="Q1062">
        <v>67.448999999999998</v>
      </c>
      <c r="R1062">
        <v>1.901</v>
      </c>
      <c r="S1062">
        <v>98.099000000000004</v>
      </c>
      <c r="T1062">
        <v>34.58</v>
      </c>
      <c r="U1062">
        <v>2.63</v>
      </c>
      <c r="V1062">
        <v>22.5</v>
      </c>
      <c r="W1062">
        <v>5.9</v>
      </c>
      <c r="X1062">
        <v>19.399999999999999</v>
      </c>
    </row>
    <row r="1063" spans="1:25" x14ac:dyDescent="0.25">
      <c r="A1063" t="s">
        <v>120</v>
      </c>
      <c r="B1063" t="s">
        <v>38</v>
      </c>
      <c r="C1063" t="s">
        <v>35</v>
      </c>
      <c r="D1063">
        <v>2025</v>
      </c>
      <c r="E1063">
        <v>8967413</v>
      </c>
      <c r="G1063">
        <v>65.02</v>
      </c>
      <c r="H1063">
        <v>65.12</v>
      </c>
      <c r="I1063">
        <v>7.89</v>
      </c>
      <c r="J1063">
        <v>0.14000000000000001</v>
      </c>
      <c r="K1063">
        <v>44.1</v>
      </c>
      <c r="L1063">
        <v>33.99</v>
      </c>
      <c r="M1063">
        <v>19.420000000000002</v>
      </c>
      <c r="N1063">
        <v>1.5</v>
      </c>
      <c r="O1063">
        <v>12.135</v>
      </c>
      <c r="P1063">
        <v>0.215</v>
      </c>
      <c r="Q1063">
        <v>67.825000000000003</v>
      </c>
      <c r="R1063">
        <v>2.3069999999999999</v>
      </c>
      <c r="S1063">
        <v>97.692999999999998</v>
      </c>
      <c r="T1063">
        <v>39.22</v>
      </c>
      <c r="U1063">
        <v>3.61</v>
      </c>
      <c r="V1063">
        <v>39.4</v>
      </c>
      <c r="W1063">
        <v>-22.2</v>
      </c>
      <c r="X1063">
        <v>-16.600000000000001</v>
      </c>
    </row>
    <row r="1064" spans="1:25" x14ac:dyDescent="0.25">
      <c r="A1064" t="s">
        <v>122</v>
      </c>
      <c r="B1064" t="s">
        <v>41</v>
      </c>
      <c r="C1064" t="s">
        <v>35</v>
      </c>
      <c r="D1064">
        <v>2000</v>
      </c>
      <c r="E1064">
        <v>22332873</v>
      </c>
      <c r="F1064">
        <v>591153923509</v>
      </c>
      <c r="G1064">
        <v>184.84</v>
      </c>
      <c r="H1064">
        <v>184.84</v>
      </c>
      <c r="I1064">
        <v>0</v>
      </c>
      <c r="J1064">
        <v>0</v>
      </c>
      <c r="K1064">
        <v>5.61</v>
      </c>
      <c r="L1064">
        <v>4.5599999999999996</v>
      </c>
      <c r="M1064">
        <v>38.5</v>
      </c>
      <c r="N1064">
        <v>140.72999999999999</v>
      </c>
      <c r="O1064">
        <v>0</v>
      </c>
      <c r="P1064">
        <v>0</v>
      </c>
      <c r="Q1064">
        <v>3.0350000000000001</v>
      </c>
      <c r="R1064">
        <v>76.135999999999996</v>
      </c>
      <c r="S1064">
        <v>23.864000000000001</v>
      </c>
      <c r="T1064">
        <v>635.20000000000005</v>
      </c>
      <c r="U1064">
        <v>0</v>
      </c>
    </row>
    <row r="1065" spans="1:25" x14ac:dyDescent="0.25">
      <c r="A1065" t="s">
        <v>122</v>
      </c>
      <c r="B1065" t="s">
        <v>41</v>
      </c>
      <c r="C1065" t="s">
        <v>35</v>
      </c>
      <c r="D1065">
        <v>2001</v>
      </c>
      <c r="E1065">
        <v>22446254</v>
      </c>
      <c r="F1065">
        <v>582366336280</v>
      </c>
      <c r="G1065">
        <v>188.53</v>
      </c>
      <c r="H1065">
        <v>188.53</v>
      </c>
      <c r="I1065">
        <v>0</v>
      </c>
      <c r="J1065">
        <v>0.01</v>
      </c>
      <c r="K1065">
        <v>6.42</v>
      </c>
      <c r="L1065">
        <v>5.09</v>
      </c>
      <c r="M1065">
        <v>35.49</v>
      </c>
      <c r="N1065">
        <v>146.62</v>
      </c>
      <c r="O1065">
        <v>0</v>
      </c>
      <c r="P1065">
        <v>5.0000000000000001E-3</v>
      </c>
      <c r="Q1065">
        <v>3.4049999999999998</v>
      </c>
      <c r="R1065">
        <v>77.77</v>
      </c>
      <c r="S1065">
        <v>22.23</v>
      </c>
      <c r="T1065">
        <v>654.16999999999996</v>
      </c>
      <c r="U1065">
        <v>0</v>
      </c>
      <c r="X1065">
        <v>14.4</v>
      </c>
    </row>
    <row r="1066" spans="1:25" x14ac:dyDescent="0.25">
      <c r="A1066" t="s">
        <v>122</v>
      </c>
      <c r="B1066" t="s">
        <v>41</v>
      </c>
      <c r="C1066" t="s">
        <v>35</v>
      </c>
      <c r="D1066">
        <v>2002</v>
      </c>
      <c r="E1066">
        <v>22566898</v>
      </c>
      <c r="F1066">
        <v>612808812199</v>
      </c>
      <c r="G1066">
        <v>198.84</v>
      </c>
      <c r="H1066">
        <v>198.84</v>
      </c>
      <c r="I1066">
        <v>0</v>
      </c>
      <c r="J1066">
        <v>0.02</v>
      </c>
      <c r="K1066">
        <v>4.4000000000000004</v>
      </c>
      <c r="L1066">
        <v>2.78</v>
      </c>
      <c r="M1066">
        <v>39.549999999999997</v>
      </c>
      <c r="N1066">
        <v>154.88999999999999</v>
      </c>
      <c r="O1066">
        <v>0</v>
      </c>
      <c r="P1066">
        <v>0.01</v>
      </c>
      <c r="Q1066">
        <v>2.2130000000000001</v>
      </c>
      <c r="R1066">
        <v>77.897000000000006</v>
      </c>
      <c r="S1066">
        <v>22.103000000000002</v>
      </c>
      <c r="T1066">
        <v>654.19000000000005</v>
      </c>
      <c r="U1066">
        <v>0.01</v>
      </c>
      <c r="W1066">
        <v>100</v>
      </c>
      <c r="X1066">
        <v>-31.5</v>
      </c>
    </row>
    <row r="1067" spans="1:25" x14ac:dyDescent="0.25">
      <c r="A1067" t="s">
        <v>122</v>
      </c>
      <c r="B1067" t="s">
        <v>41</v>
      </c>
      <c r="C1067" t="s">
        <v>35</v>
      </c>
      <c r="D1067">
        <v>2003</v>
      </c>
      <c r="E1067">
        <v>22664130</v>
      </c>
      <c r="F1067">
        <v>636240085985</v>
      </c>
      <c r="G1067">
        <v>209.06</v>
      </c>
      <c r="H1067">
        <v>209.06</v>
      </c>
      <c r="I1067">
        <v>0</v>
      </c>
      <c r="J1067">
        <v>0.02</v>
      </c>
      <c r="K1067">
        <v>4.82</v>
      </c>
      <c r="L1067">
        <v>3.03</v>
      </c>
      <c r="M1067">
        <v>38.89</v>
      </c>
      <c r="N1067">
        <v>165.35</v>
      </c>
      <c r="O1067">
        <v>0</v>
      </c>
      <c r="P1067">
        <v>0.01</v>
      </c>
      <c r="Q1067">
        <v>2.306</v>
      </c>
      <c r="R1067">
        <v>79.091999999999999</v>
      </c>
      <c r="S1067">
        <v>20.908000000000001</v>
      </c>
      <c r="T1067">
        <v>665.79</v>
      </c>
      <c r="U1067">
        <v>0.01</v>
      </c>
      <c r="W1067">
        <v>0</v>
      </c>
      <c r="X1067">
        <v>9.5</v>
      </c>
    </row>
    <row r="1068" spans="1:25" x14ac:dyDescent="0.25">
      <c r="A1068" t="s">
        <v>122</v>
      </c>
      <c r="B1068" t="s">
        <v>41</v>
      </c>
      <c r="C1068" t="s">
        <v>35</v>
      </c>
      <c r="D1068">
        <v>2004</v>
      </c>
      <c r="E1068">
        <v>22745432</v>
      </c>
      <c r="F1068">
        <v>675272430215</v>
      </c>
      <c r="G1068">
        <v>218.41</v>
      </c>
      <c r="H1068">
        <v>218.41</v>
      </c>
      <c r="I1068">
        <v>0</v>
      </c>
      <c r="J1068">
        <v>0.03</v>
      </c>
      <c r="K1068">
        <v>5.09</v>
      </c>
      <c r="L1068">
        <v>3.21</v>
      </c>
      <c r="M1068">
        <v>39.49</v>
      </c>
      <c r="N1068">
        <v>173.83</v>
      </c>
      <c r="O1068">
        <v>0</v>
      </c>
      <c r="P1068">
        <v>1.4E-2</v>
      </c>
      <c r="Q1068">
        <v>2.33</v>
      </c>
      <c r="R1068">
        <v>79.588999999999999</v>
      </c>
      <c r="S1068">
        <v>20.411000000000001</v>
      </c>
      <c r="T1068">
        <v>663.8</v>
      </c>
      <c r="U1068">
        <v>0.01</v>
      </c>
      <c r="W1068">
        <v>50</v>
      </c>
      <c r="X1068">
        <v>5.6</v>
      </c>
    </row>
    <row r="1069" spans="1:25" x14ac:dyDescent="0.25">
      <c r="A1069" t="s">
        <v>122</v>
      </c>
      <c r="B1069" t="s">
        <v>41</v>
      </c>
      <c r="C1069" t="s">
        <v>35</v>
      </c>
      <c r="D1069">
        <v>2005</v>
      </c>
      <c r="E1069">
        <v>22824932</v>
      </c>
      <c r="F1069">
        <v>709313986797</v>
      </c>
      <c r="G1069">
        <v>227.5</v>
      </c>
      <c r="H1069">
        <v>227.5</v>
      </c>
      <c r="I1069">
        <v>0</v>
      </c>
      <c r="J1069">
        <v>0.09</v>
      </c>
      <c r="K1069">
        <v>6.01</v>
      </c>
      <c r="L1069">
        <v>4.07</v>
      </c>
      <c r="M1069">
        <v>39.97</v>
      </c>
      <c r="N1069">
        <v>181.52</v>
      </c>
      <c r="O1069">
        <v>0</v>
      </c>
      <c r="P1069">
        <v>0.04</v>
      </c>
      <c r="Q1069">
        <v>2.6419999999999999</v>
      </c>
      <c r="R1069">
        <v>79.789000000000001</v>
      </c>
      <c r="S1069">
        <v>20.210999999999999</v>
      </c>
      <c r="T1069">
        <v>665.14</v>
      </c>
      <c r="U1069">
        <v>0.04</v>
      </c>
      <c r="W1069">
        <v>200</v>
      </c>
      <c r="X1069">
        <v>18.100000000000001</v>
      </c>
    </row>
    <row r="1070" spans="1:25" x14ac:dyDescent="0.25">
      <c r="A1070" t="s">
        <v>122</v>
      </c>
      <c r="B1070" t="s">
        <v>41</v>
      </c>
      <c r="C1070" t="s">
        <v>35</v>
      </c>
      <c r="D1070">
        <v>2006</v>
      </c>
      <c r="E1070">
        <v>22914644</v>
      </c>
      <c r="F1070">
        <v>745965982529</v>
      </c>
      <c r="G1070">
        <v>235.54</v>
      </c>
      <c r="H1070">
        <v>235.54</v>
      </c>
      <c r="I1070">
        <v>0</v>
      </c>
      <c r="J1070">
        <v>0.28000000000000003</v>
      </c>
      <c r="K1070">
        <v>6.22</v>
      </c>
      <c r="L1070">
        <v>4.09</v>
      </c>
      <c r="M1070">
        <v>39.869999999999997</v>
      </c>
      <c r="N1070">
        <v>189.45</v>
      </c>
      <c r="O1070">
        <v>0</v>
      </c>
      <c r="P1070">
        <v>0.11899999999999999</v>
      </c>
      <c r="Q1070">
        <v>2.641</v>
      </c>
      <c r="R1070">
        <v>80.432000000000002</v>
      </c>
      <c r="S1070">
        <v>19.568000000000001</v>
      </c>
      <c r="T1070">
        <v>669.44</v>
      </c>
      <c r="U1070">
        <v>0.13</v>
      </c>
      <c r="W1070">
        <v>211.1</v>
      </c>
      <c r="X1070">
        <v>3.5</v>
      </c>
    </row>
    <row r="1071" spans="1:25" x14ac:dyDescent="0.25">
      <c r="A1071" t="s">
        <v>122</v>
      </c>
      <c r="B1071" t="s">
        <v>41</v>
      </c>
      <c r="C1071" t="s">
        <v>35</v>
      </c>
      <c r="D1071">
        <v>2007</v>
      </c>
      <c r="E1071">
        <v>23006921</v>
      </c>
      <c r="F1071">
        <v>791900583149</v>
      </c>
      <c r="G1071">
        <v>243.11</v>
      </c>
      <c r="H1071">
        <v>243.11</v>
      </c>
      <c r="I1071">
        <v>0</v>
      </c>
      <c r="J1071">
        <v>0.44</v>
      </c>
      <c r="K1071">
        <v>6.74</v>
      </c>
      <c r="L1071">
        <v>4.42</v>
      </c>
      <c r="M1071">
        <v>40.54</v>
      </c>
      <c r="N1071">
        <v>195.83</v>
      </c>
      <c r="O1071">
        <v>0</v>
      </c>
      <c r="P1071">
        <v>0.18099999999999999</v>
      </c>
      <c r="Q1071">
        <v>2.7719999999999998</v>
      </c>
      <c r="R1071">
        <v>80.552000000000007</v>
      </c>
      <c r="S1071">
        <v>19.448</v>
      </c>
      <c r="T1071">
        <v>669.66</v>
      </c>
      <c r="U1071">
        <v>0.2</v>
      </c>
      <c r="W1071">
        <v>57.1</v>
      </c>
      <c r="X1071">
        <v>8.4</v>
      </c>
    </row>
    <row r="1072" spans="1:25" x14ac:dyDescent="0.25">
      <c r="A1072" t="s">
        <v>122</v>
      </c>
      <c r="B1072" t="s">
        <v>41</v>
      </c>
      <c r="C1072" t="s">
        <v>35</v>
      </c>
      <c r="D1072">
        <v>2008</v>
      </c>
      <c r="E1072">
        <v>23086238</v>
      </c>
      <c r="F1072">
        <v>794389614968</v>
      </c>
      <c r="G1072">
        <v>238.31</v>
      </c>
      <c r="H1072">
        <v>238.31</v>
      </c>
      <c r="I1072">
        <v>0</v>
      </c>
      <c r="J1072">
        <v>0.59</v>
      </c>
      <c r="K1072">
        <v>6.72</v>
      </c>
      <c r="L1072">
        <v>4.3099999999999996</v>
      </c>
      <c r="M1072">
        <v>40.83</v>
      </c>
      <c r="N1072">
        <v>190.76</v>
      </c>
      <c r="O1072">
        <v>0</v>
      </c>
      <c r="P1072">
        <v>0.248</v>
      </c>
      <c r="Q1072">
        <v>2.82</v>
      </c>
      <c r="R1072">
        <v>80.046999999999997</v>
      </c>
      <c r="S1072">
        <v>19.952999999999999</v>
      </c>
      <c r="T1072">
        <v>660.11</v>
      </c>
      <c r="U1072">
        <v>0.27</v>
      </c>
      <c r="W1072">
        <v>34.1</v>
      </c>
      <c r="X1072">
        <v>-0.3</v>
      </c>
    </row>
    <row r="1073" spans="1:25" x14ac:dyDescent="0.25">
      <c r="A1073" t="s">
        <v>122</v>
      </c>
      <c r="B1073" t="s">
        <v>41</v>
      </c>
      <c r="C1073" t="s">
        <v>35</v>
      </c>
      <c r="D1073">
        <v>2009</v>
      </c>
      <c r="E1073">
        <v>23164353</v>
      </c>
      <c r="F1073">
        <v>779014502319</v>
      </c>
      <c r="G1073">
        <v>230.05</v>
      </c>
      <c r="H1073">
        <v>230.05</v>
      </c>
      <c r="I1073">
        <v>0.01</v>
      </c>
      <c r="J1073">
        <v>0.79</v>
      </c>
      <c r="K1073">
        <v>6.3</v>
      </c>
      <c r="L1073">
        <v>3.75</v>
      </c>
      <c r="M1073">
        <v>41.57</v>
      </c>
      <c r="N1073">
        <v>182.18</v>
      </c>
      <c r="O1073">
        <v>4.0000000000000001E-3</v>
      </c>
      <c r="P1073">
        <v>0.34300000000000003</v>
      </c>
      <c r="Q1073">
        <v>2.7389999999999999</v>
      </c>
      <c r="R1073">
        <v>79.191000000000003</v>
      </c>
      <c r="S1073">
        <v>20.809000000000001</v>
      </c>
      <c r="T1073">
        <v>657.73</v>
      </c>
      <c r="U1073">
        <v>0.36</v>
      </c>
      <c r="W1073">
        <v>33.9</v>
      </c>
      <c r="X1073">
        <v>-6.2</v>
      </c>
    </row>
    <row r="1074" spans="1:25" x14ac:dyDescent="0.25">
      <c r="A1074" t="s">
        <v>122</v>
      </c>
      <c r="B1074" t="s">
        <v>41</v>
      </c>
      <c r="C1074" t="s">
        <v>35</v>
      </c>
      <c r="D1074">
        <v>2010</v>
      </c>
      <c r="E1074">
        <v>23224049</v>
      </c>
      <c r="F1074">
        <v>859487483344</v>
      </c>
      <c r="G1074">
        <v>247.05</v>
      </c>
      <c r="H1074">
        <v>247.05</v>
      </c>
      <c r="I1074">
        <v>0.02</v>
      </c>
      <c r="J1074">
        <v>1.03</v>
      </c>
      <c r="K1074">
        <v>7.07</v>
      </c>
      <c r="L1074">
        <v>4.1900000000000004</v>
      </c>
      <c r="M1074">
        <v>41.63</v>
      </c>
      <c r="N1074">
        <v>198.35</v>
      </c>
      <c r="O1074">
        <v>8.0000000000000002E-3</v>
      </c>
      <c r="P1074">
        <v>0.41699999999999998</v>
      </c>
      <c r="Q1074">
        <v>2.8620000000000001</v>
      </c>
      <c r="R1074">
        <v>80.287000000000006</v>
      </c>
      <c r="S1074">
        <v>19.713000000000001</v>
      </c>
      <c r="T1074">
        <v>653.19000000000005</v>
      </c>
      <c r="U1074">
        <v>0.47</v>
      </c>
      <c r="V1074">
        <v>100</v>
      </c>
      <c r="W1074">
        <v>30.4</v>
      </c>
      <c r="X1074">
        <v>12.2</v>
      </c>
    </row>
    <row r="1075" spans="1:25" x14ac:dyDescent="0.25">
      <c r="A1075" t="s">
        <v>122</v>
      </c>
      <c r="B1075" t="s">
        <v>41</v>
      </c>
      <c r="C1075" t="s">
        <v>35</v>
      </c>
      <c r="D1075">
        <v>2011</v>
      </c>
      <c r="E1075">
        <v>23273078</v>
      </c>
      <c r="F1075">
        <v>888546864638</v>
      </c>
      <c r="G1075">
        <v>252.15</v>
      </c>
      <c r="H1075">
        <v>252.15</v>
      </c>
      <c r="I1075">
        <v>0.06</v>
      </c>
      <c r="J1075">
        <v>1.49</v>
      </c>
      <c r="K1075">
        <v>7.38</v>
      </c>
      <c r="L1075">
        <v>4</v>
      </c>
      <c r="M1075">
        <v>42.12</v>
      </c>
      <c r="N1075">
        <v>202.65</v>
      </c>
      <c r="O1075">
        <v>2.4E-2</v>
      </c>
      <c r="P1075">
        <v>0.59099999999999997</v>
      </c>
      <c r="Q1075">
        <v>2.927</v>
      </c>
      <c r="R1075">
        <v>80.369</v>
      </c>
      <c r="S1075">
        <v>19.631</v>
      </c>
      <c r="T1075">
        <v>652.30999999999995</v>
      </c>
      <c r="U1075">
        <v>0.7</v>
      </c>
      <c r="V1075">
        <v>200</v>
      </c>
      <c r="W1075">
        <v>44.7</v>
      </c>
      <c r="X1075">
        <v>4.4000000000000004</v>
      </c>
    </row>
    <row r="1076" spans="1:25" x14ac:dyDescent="0.25">
      <c r="A1076" t="s">
        <v>122</v>
      </c>
      <c r="B1076" t="s">
        <v>41</v>
      </c>
      <c r="C1076" t="s">
        <v>35</v>
      </c>
      <c r="D1076">
        <v>2012</v>
      </c>
      <c r="E1076">
        <v>23345963</v>
      </c>
      <c r="F1076">
        <v>908290377366</v>
      </c>
      <c r="G1076">
        <v>250.37</v>
      </c>
      <c r="H1076">
        <v>250.37</v>
      </c>
      <c r="I1076">
        <v>0.16</v>
      </c>
      <c r="J1076">
        <v>1.41</v>
      </c>
      <c r="K1076">
        <v>9.07</v>
      </c>
      <c r="L1076">
        <v>5.67</v>
      </c>
      <c r="M1076">
        <v>40.42</v>
      </c>
      <c r="N1076">
        <v>200.88</v>
      </c>
      <c r="O1076">
        <v>6.4000000000000001E-2</v>
      </c>
      <c r="P1076">
        <v>0.56299999999999994</v>
      </c>
      <c r="Q1076">
        <v>3.6230000000000002</v>
      </c>
      <c r="R1076">
        <v>80.233000000000004</v>
      </c>
      <c r="S1076">
        <v>19.766999999999999</v>
      </c>
      <c r="T1076">
        <v>649.32000000000005</v>
      </c>
      <c r="U1076">
        <v>0.71</v>
      </c>
      <c r="V1076">
        <v>166.7</v>
      </c>
      <c r="W1076">
        <v>-5.4</v>
      </c>
      <c r="X1076">
        <v>22.9</v>
      </c>
    </row>
    <row r="1077" spans="1:25" x14ac:dyDescent="0.25">
      <c r="A1077" t="s">
        <v>122</v>
      </c>
      <c r="B1077" t="s">
        <v>41</v>
      </c>
      <c r="C1077" t="s">
        <v>35</v>
      </c>
      <c r="D1077">
        <v>2013</v>
      </c>
      <c r="E1077">
        <v>23416870</v>
      </c>
      <c r="F1077">
        <v>930852328389</v>
      </c>
      <c r="G1077">
        <v>252.33</v>
      </c>
      <c r="H1077">
        <v>252.33</v>
      </c>
      <c r="I1077">
        <v>0.32</v>
      </c>
      <c r="J1077">
        <v>1.64</v>
      </c>
      <c r="K1077">
        <v>9.23</v>
      </c>
      <c r="L1077">
        <v>5.42</v>
      </c>
      <c r="M1077">
        <v>41.64</v>
      </c>
      <c r="N1077">
        <v>201.46</v>
      </c>
      <c r="O1077">
        <v>0.127</v>
      </c>
      <c r="P1077">
        <v>0.65</v>
      </c>
      <c r="Q1077">
        <v>3.6579999999999999</v>
      </c>
      <c r="R1077">
        <v>79.84</v>
      </c>
      <c r="S1077">
        <v>20.16</v>
      </c>
      <c r="T1077">
        <v>644.08000000000004</v>
      </c>
      <c r="U1077">
        <v>0.88</v>
      </c>
      <c r="V1077">
        <v>100</v>
      </c>
      <c r="W1077">
        <v>16.3</v>
      </c>
      <c r="X1077">
        <v>1.8</v>
      </c>
    </row>
    <row r="1078" spans="1:25" x14ac:dyDescent="0.25">
      <c r="A1078" t="s">
        <v>122</v>
      </c>
      <c r="B1078" t="s">
        <v>41</v>
      </c>
      <c r="C1078" t="s">
        <v>35</v>
      </c>
      <c r="D1078">
        <v>2014</v>
      </c>
      <c r="E1078">
        <v>23472811</v>
      </c>
      <c r="F1078">
        <v>974779255338</v>
      </c>
      <c r="G1078">
        <v>259.97000000000003</v>
      </c>
      <c r="H1078">
        <v>259.97000000000003</v>
      </c>
      <c r="I1078">
        <v>0.53</v>
      </c>
      <c r="J1078">
        <v>1.5</v>
      </c>
      <c r="K1078">
        <v>8.27</v>
      </c>
      <c r="L1078">
        <v>4.32</v>
      </c>
      <c r="M1078">
        <v>42.39</v>
      </c>
      <c r="N1078">
        <v>209.31</v>
      </c>
      <c r="O1078">
        <v>0.20399999999999999</v>
      </c>
      <c r="P1078">
        <v>0.57699999999999996</v>
      </c>
      <c r="Q1078">
        <v>3.181</v>
      </c>
      <c r="R1078">
        <v>80.513000000000005</v>
      </c>
      <c r="S1078">
        <v>19.486999999999998</v>
      </c>
      <c r="T1078">
        <v>645.5</v>
      </c>
      <c r="U1078">
        <v>0.91</v>
      </c>
      <c r="V1078">
        <v>65.599999999999994</v>
      </c>
      <c r="W1078">
        <v>-8.5</v>
      </c>
      <c r="X1078">
        <v>-10.4</v>
      </c>
    </row>
    <row r="1079" spans="1:25" x14ac:dyDescent="0.25">
      <c r="A1079" t="s">
        <v>122</v>
      </c>
      <c r="B1079" t="s">
        <v>41</v>
      </c>
      <c r="C1079" t="s">
        <v>35</v>
      </c>
      <c r="D1079">
        <v>2015</v>
      </c>
      <c r="E1079">
        <v>23529260</v>
      </c>
      <c r="F1079">
        <v>989069527295</v>
      </c>
      <c r="G1079">
        <v>258.14</v>
      </c>
      <c r="H1079">
        <v>258.14</v>
      </c>
      <c r="I1079">
        <v>0.85</v>
      </c>
      <c r="J1079">
        <v>1.53</v>
      </c>
      <c r="K1079">
        <v>8.7899999999999991</v>
      </c>
      <c r="L1079">
        <v>4.47</v>
      </c>
      <c r="M1079">
        <v>36.47</v>
      </c>
      <c r="N1079">
        <v>212.88</v>
      </c>
      <c r="O1079">
        <v>0.32900000000000001</v>
      </c>
      <c r="P1079">
        <v>0.59299999999999997</v>
      </c>
      <c r="Q1079">
        <v>3.4049999999999998</v>
      </c>
      <c r="R1079">
        <v>82.466999999999999</v>
      </c>
      <c r="S1079">
        <v>17.533000000000001</v>
      </c>
      <c r="T1079">
        <v>650.27</v>
      </c>
      <c r="U1079">
        <v>1.07</v>
      </c>
      <c r="V1079">
        <v>60.4</v>
      </c>
      <c r="W1079">
        <v>2</v>
      </c>
      <c r="X1079">
        <v>6.3</v>
      </c>
    </row>
    <row r="1080" spans="1:25" x14ac:dyDescent="0.25">
      <c r="A1080" t="s">
        <v>122</v>
      </c>
      <c r="B1080" t="s">
        <v>41</v>
      </c>
      <c r="C1080" t="s">
        <v>35</v>
      </c>
      <c r="D1080">
        <v>2016</v>
      </c>
      <c r="E1080">
        <v>23586140</v>
      </c>
      <c r="F1080">
        <v>1010482869589</v>
      </c>
      <c r="G1080">
        <v>264.12</v>
      </c>
      <c r="H1080">
        <v>264.12</v>
      </c>
      <c r="I1080">
        <v>1.1100000000000001</v>
      </c>
      <c r="J1080">
        <v>1.46</v>
      </c>
      <c r="K1080">
        <v>11.04</v>
      </c>
      <c r="L1080">
        <v>6.56</v>
      </c>
      <c r="M1080">
        <v>31.66</v>
      </c>
      <c r="N1080">
        <v>221.42</v>
      </c>
      <c r="O1080">
        <v>0.42</v>
      </c>
      <c r="P1080">
        <v>0.55300000000000005</v>
      </c>
      <c r="Q1080">
        <v>4.18</v>
      </c>
      <c r="R1080">
        <v>83.832999999999998</v>
      </c>
      <c r="S1080">
        <v>16.167000000000002</v>
      </c>
      <c r="T1080">
        <v>659.17</v>
      </c>
      <c r="U1080">
        <v>1.1599999999999999</v>
      </c>
      <c r="V1080">
        <v>30.6</v>
      </c>
      <c r="W1080">
        <v>-4.5999999999999996</v>
      </c>
      <c r="X1080">
        <v>25.6</v>
      </c>
    </row>
    <row r="1081" spans="1:25" x14ac:dyDescent="0.25">
      <c r="A1081" t="s">
        <v>122</v>
      </c>
      <c r="B1081" t="s">
        <v>41</v>
      </c>
      <c r="C1081" t="s">
        <v>35</v>
      </c>
      <c r="D1081">
        <v>2017</v>
      </c>
      <c r="E1081">
        <v>23632950</v>
      </c>
      <c r="F1081">
        <v>1043939947916</v>
      </c>
      <c r="G1081">
        <v>270.26</v>
      </c>
      <c r="H1081">
        <v>270.26</v>
      </c>
      <c r="I1081">
        <v>1.67</v>
      </c>
      <c r="J1081">
        <v>1.72</v>
      </c>
      <c r="K1081">
        <v>10.7</v>
      </c>
      <c r="L1081">
        <v>5.45</v>
      </c>
      <c r="M1081">
        <v>22.45</v>
      </c>
      <c r="N1081">
        <v>237.11</v>
      </c>
      <c r="O1081">
        <v>0.61799999999999999</v>
      </c>
      <c r="P1081">
        <v>0.63600000000000001</v>
      </c>
      <c r="Q1081">
        <v>3.9590000000000001</v>
      </c>
      <c r="R1081">
        <v>87.733999999999995</v>
      </c>
      <c r="S1081">
        <v>12.266</v>
      </c>
      <c r="T1081">
        <v>684.71</v>
      </c>
      <c r="U1081">
        <v>1.53</v>
      </c>
      <c r="V1081">
        <v>50.5</v>
      </c>
      <c r="W1081">
        <v>17.8</v>
      </c>
      <c r="X1081">
        <v>-3.1</v>
      </c>
    </row>
    <row r="1082" spans="1:25" x14ac:dyDescent="0.25">
      <c r="A1082" t="s">
        <v>122</v>
      </c>
      <c r="B1082" t="s">
        <v>41</v>
      </c>
      <c r="C1082" t="s">
        <v>35</v>
      </c>
      <c r="D1082">
        <v>2018</v>
      </c>
      <c r="E1082">
        <v>23659308</v>
      </c>
      <c r="F1082">
        <v>1073034529603</v>
      </c>
      <c r="G1082">
        <v>275.52999999999997</v>
      </c>
      <c r="H1082">
        <v>275.52999999999997</v>
      </c>
      <c r="I1082">
        <v>2.7</v>
      </c>
      <c r="J1082">
        <v>1.71</v>
      </c>
      <c r="K1082">
        <v>10.86</v>
      </c>
      <c r="L1082">
        <v>4.4800000000000004</v>
      </c>
      <c r="M1082">
        <v>27.68</v>
      </c>
      <c r="N1082">
        <v>236.99</v>
      </c>
      <c r="O1082">
        <v>0.98</v>
      </c>
      <c r="P1082">
        <v>0.621</v>
      </c>
      <c r="Q1082">
        <v>3.9409999999999998</v>
      </c>
      <c r="R1082">
        <v>86.012</v>
      </c>
      <c r="S1082">
        <v>13.988</v>
      </c>
      <c r="T1082">
        <v>672.2</v>
      </c>
      <c r="U1082">
        <v>1.98</v>
      </c>
      <c r="V1082">
        <v>61.7</v>
      </c>
      <c r="W1082">
        <v>-0.6</v>
      </c>
      <c r="X1082">
        <v>1.5</v>
      </c>
    </row>
    <row r="1083" spans="1:25" x14ac:dyDescent="0.25">
      <c r="A1083" t="s">
        <v>122</v>
      </c>
      <c r="B1083" t="s">
        <v>41</v>
      </c>
      <c r="C1083" t="s">
        <v>35</v>
      </c>
      <c r="D1083">
        <v>2019</v>
      </c>
      <c r="E1083">
        <v>23674137</v>
      </c>
      <c r="F1083">
        <v>1105912366266</v>
      </c>
      <c r="G1083">
        <v>274.18</v>
      </c>
      <c r="H1083">
        <v>274.18</v>
      </c>
      <c r="I1083">
        <v>4.0199999999999996</v>
      </c>
      <c r="J1083">
        <v>1.89</v>
      </c>
      <c r="K1083">
        <v>13.44</v>
      </c>
      <c r="L1083">
        <v>5.54</v>
      </c>
      <c r="M1083">
        <v>32.32</v>
      </c>
      <c r="N1083">
        <v>228.42</v>
      </c>
      <c r="O1083">
        <v>1.466</v>
      </c>
      <c r="P1083">
        <v>0.68899999999999995</v>
      </c>
      <c r="Q1083">
        <v>4.9020000000000001</v>
      </c>
      <c r="R1083">
        <v>83.31</v>
      </c>
      <c r="S1083">
        <v>16.690000000000001</v>
      </c>
      <c r="T1083">
        <v>649.05999999999995</v>
      </c>
      <c r="U1083">
        <v>2.66</v>
      </c>
      <c r="V1083">
        <v>48.9</v>
      </c>
      <c r="W1083">
        <v>10.5</v>
      </c>
      <c r="X1083">
        <v>23.8</v>
      </c>
    </row>
    <row r="1084" spans="1:25" x14ac:dyDescent="0.25">
      <c r="A1084" t="s">
        <v>122</v>
      </c>
      <c r="B1084" t="s">
        <v>41</v>
      </c>
      <c r="C1084" t="s">
        <v>35</v>
      </c>
      <c r="D1084">
        <v>2020</v>
      </c>
      <c r="E1084">
        <v>23663461</v>
      </c>
      <c r="F1084">
        <v>1143369531447</v>
      </c>
      <c r="G1084">
        <v>279.99</v>
      </c>
      <c r="H1084">
        <v>279.99</v>
      </c>
      <c r="I1084">
        <v>6.07</v>
      </c>
      <c r="J1084">
        <v>2.31</v>
      </c>
      <c r="K1084">
        <v>13.4</v>
      </c>
      <c r="L1084">
        <v>3.02</v>
      </c>
      <c r="M1084">
        <v>31.44</v>
      </c>
      <c r="N1084">
        <v>235.15</v>
      </c>
      <c r="O1084">
        <v>2.1680000000000001</v>
      </c>
      <c r="P1084">
        <v>0.82499999999999996</v>
      </c>
      <c r="Q1084">
        <v>4.7859999999999996</v>
      </c>
      <c r="R1084">
        <v>83.984999999999999</v>
      </c>
      <c r="S1084">
        <v>16.015000000000001</v>
      </c>
      <c r="T1084">
        <v>648.05999999999995</v>
      </c>
      <c r="U1084">
        <v>3.77</v>
      </c>
      <c r="V1084">
        <v>51</v>
      </c>
      <c r="W1084">
        <v>22.2</v>
      </c>
      <c r="X1084">
        <v>-0.3</v>
      </c>
    </row>
    <row r="1085" spans="1:25" x14ac:dyDescent="0.25">
      <c r="A1085" t="s">
        <v>122</v>
      </c>
      <c r="B1085" t="s">
        <v>41</v>
      </c>
      <c r="C1085" t="s">
        <v>35</v>
      </c>
      <c r="D1085">
        <v>2021</v>
      </c>
      <c r="E1085">
        <v>23558330</v>
      </c>
      <c r="F1085">
        <v>1218008773904</v>
      </c>
      <c r="G1085">
        <v>291.02999999999997</v>
      </c>
      <c r="H1085">
        <v>291.02999999999997</v>
      </c>
      <c r="I1085">
        <v>7.97</v>
      </c>
      <c r="J1085">
        <v>2.27</v>
      </c>
      <c r="K1085">
        <v>15.72</v>
      </c>
      <c r="L1085">
        <v>3.47</v>
      </c>
      <c r="M1085">
        <v>27.79</v>
      </c>
      <c r="N1085">
        <v>247.52</v>
      </c>
      <c r="O1085">
        <v>2.7389999999999999</v>
      </c>
      <c r="P1085">
        <v>0.78</v>
      </c>
      <c r="Q1085">
        <v>5.4020000000000001</v>
      </c>
      <c r="R1085">
        <v>85.05</v>
      </c>
      <c r="S1085">
        <v>14.95</v>
      </c>
      <c r="T1085">
        <v>652.1</v>
      </c>
      <c r="U1085">
        <v>4.6100000000000003</v>
      </c>
      <c r="V1085">
        <v>31.3</v>
      </c>
      <c r="W1085">
        <v>-1.7</v>
      </c>
      <c r="X1085">
        <v>17.3</v>
      </c>
      <c r="Y1085" t="s">
        <v>123</v>
      </c>
    </row>
    <row r="1086" spans="1:25" x14ac:dyDescent="0.25">
      <c r="A1086" t="s">
        <v>122</v>
      </c>
      <c r="B1086" t="s">
        <v>41</v>
      </c>
      <c r="C1086" t="s">
        <v>35</v>
      </c>
      <c r="D1086">
        <v>2022</v>
      </c>
      <c r="E1086">
        <v>23420107</v>
      </c>
      <c r="F1086">
        <v>1247874288934</v>
      </c>
      <c r="G1086">
        <v>288.19</v>
      </c>
      <c r="H1086">
        <v>288.19</v>
      </c>
      <c r="I1086">
        <v>10.68</v>
      </c>
      <c r="J1086">
        <v>3.58</v>
      </c>
      <c r="K1086">
        <v>22.09</v>
      </c>
      <c r="L1086">
        <v>5.84</v>
      </c>
      <c r="M1086">
        <v>23.75</v>
      </c>
      <c r="N1086">
        <v>242.35</v>
      </c>
      <c r="O1086">
        <v>3.706</v>
      </c>
      <c r="P1086">
        <v>1.242</v>
      </c>
      <c r="Q1086">
        <v>7.665</v>
      </c>
      <c r="R1086">
        <v>84.093999999999994</v>
      </c>
      <c r="S1086">
        <v>15.906000000000001</v>
      </c>
      <c r="T1086">
        <v>639.23</v>
      </c>
      <c r="U1086">
        <v>6.42</v>
      </c>
      <c r="V1086">
        <v>34</v>
      </c>
      <c r="W1086">
        <v>57.7</v>
      </c>
      <c r="X1086">
        <v>40.5</v>
      </c>
    </row>
    <row r="1087" spans="1:25" x14ac:dyDescent="0.25">
      <c r="A1087" t="s">
        <v>122</v>
      </c>
      <c r="B1087" t="s">
        <v>41</v>
      </c>
      <c r="C1087" t="s">
        <v>35</v>
      </c>
      <c r="D1087">
        <v>2023</v>
      </c>
      <c r="E1087">
        <v>23317145</v>
      </c>
      <c r="G1087">
        <v>282.27999999999997</v>
      </c>
      <c r="H1087">
        <v>282.27999999999997</v>
      </c>
      <c r="I1087">
        <v>12.91</v>
      </c>
      <c r="J1087">
        <v>6.24</v>
      </c>
      <c r="K1087">
        <v>25.12</v>
      </c>
      <c r="L1087">
        <v>3.96</v>
      </c>
      <c r="M1087">
        <v>17.8</v>
      </c>
      <c r="N1087">
        <v>239.36</v>
      </c>
      <c r="O1087">
        <v>4.5730000000000004</v>
      </c>
      <c r="P1087">
        <v>2.2109999999999999</v>
      </c>
      <c r="Q1087">
        <v>8.8989999999999991</v>
      </c>
      <c r="R1087">
        <v>84.795000000000002</v>
      </c>
      <c r="S1087">
        <v>15.205</v>
      </c>
      <c r="T1087">
        <v>644.17999999999995</v>
      </c>
      <c r="U1087">
        <v>8.6199999999999992</v>
      </c>
      <c r="V1087">
        <v>20.9</v>
      </c>
      <c r="W1087">
        <v>74.3</v>
      </c>
      <c r="X1087">
        <v>13.7</v>
      </c>
    </row>
    <row r="1088" spans="1:25" x14ac:dyDescent="0.25">
      <c r="A1088" t="s">
        <v>122</v>
      </c>
      <c r="B1088" t="s">
        <v>41</v>
      </c>
      <c r="C1088" t="s">
        <v>35</v>
      </c>
      <c r="D1088">
        <v>2024</v>
      </c>
      <c r="E1088">
        <v>23213964</v>
      </c>
      <c r="G1088">
        <v>288.56</v>
      </c>
      <c r="H1088">
        <v>288.56</v>
      </c>
      <c r="I1088">
        <v>14.9</v>
      </c>
      <c r="J1088">
        <v>10.33</v>
      </c>
      <c r="K1088">
        <v>31.51</v>
      </c>
      <c r="L1088">
        <v>4.21</v>
      </c>
      <c r="M1088">
        <v>12.18</v>
      </c>
      <c r="N1088">
        <v>244.87</v>
      </c>
      <c r="O1088">
        <v>5.1639999999999997</v>
      </c>
      <c r="P1088">
        <v>3.58</v>
      </c>
      <c r="Q1088">
        <v>10.92</v>
      </c>
      <c r="R1088">
        <v>84.858999999999995</v>
      </c>
      <c r="S1088">
        <v>15.141</v>
      </c>
      <c r="T1088">
        <v>635.19000000000005</v>
      </c>
      <c r="U1088">
        <v>11.35</v>
      </c>
      <c r="V1088">
        <v>15.4</v>
      </c>
      <c r="W1088">
        <v>65.5</v>
      </c>
      <c r="X1088">
        <v>25.4</v>
      </c>
    </row>
    <row r="1089" spans="1:24" x14ac:dyDescent="0.25">
      <c r="A1089" t="s">
        <v>122</v>
      </c>
      <c r="B1089" t="s">
        <v>41</v>
      </c>
      <c r="C1089" t="s">
        <v>35</v>
      </c>
      <c r="D1089">
        <v>2025</v>
      </c>
      <c r="E1089">
        <v>23112797</v>
      </c>
      <c r="G1089">
        <v>288.39</v>
      </c>
      <c r="H1089">
        <v>288.39</v>
      </c>
      <c r="I1089">
        <v>15.68</v>
      </c>
      <c r="J1089">
        <v>12.01</v>
      </c>
      <c r="K1089">
        <v>35.299999999999997</v>
      </c>
      <c r="L1089">
        <v>5.51</v>
      </c>
      <c r="M1089">
        <v>3.25</v>
      </c>
      <c r="N1089">
        <v>249.84</v>
      </c>
      <c r="O1089">
        <v>5.4370000000000003</v>
      </c>
      <c r="P1089">
        <v>4.1639999999999997</v>
      </c>
      <c r="Q1089">
        <v>12.24</v>
      </c>
      <c r="R1089">
        <v>86.632999999999996</v>
      </c>
      <c r="S1089">
        <v>13.367000000000001</v>
      </c>
      <c r="T1089">
        <v>633.21</v>
      </c>
      <c r="U1089">
        <v>12.46</v>
      </c>
      <c r="V1089">
        <v>5.2</v>
      </c>
      <c r="W1089">
        <v>16.3</v>
      </c>
      <c r="X1089">
        <v>12</v>
      </c>
    </row>
    <row r="1090" spans="1:24" x14ac:dyDescent="0.25">
      <c r="A1090" t="s">
        <v>124</v>
      </c>
      <c r="B1090" t="s">
        <v>41</v>
      </c>
      <c r="C1090" t="s">
        <v>31</v>
      </c>
      <c r="D1090">
        <v>2000</v>
      </c>
      <c r="E1090">
        <v>63007815</v>
      </c>
      <c r="F1090">
        <v>579217712636</v>
      </c>
      <c r="G1090">
        <v>95.52</v>
      </c>
      <c r="H1090">
        <v>98.34</v>
      </c>
      <c r="I1090">
        <v>0</v>
      </c>
      <c r="J1090">
        <v>0</v>
      </c>
      <c r="K1090">
        <v>6.42</v>
      </c>
      <c r="L1090">
        <v>5.89</v>
      </c>
      <c r="M1090">
        <v>0</v>
      </c>
      <c r="N1090">
        <v>89.1</v>
      </c>
      <c r="O1090">
        <v>0</v>
      </c>
      <c r="P1090">
        <v>0</v>
      </c>
      <c r="Q1090">
        <v>6.7210000000000001</v>
      </c>
      <c r="R1090">
        <v>93.278999999999996</v>
      </c>
      <c r="S1090">
        <v>6.7210000000000001</v>
      </c>
      <c r="T1090">
        <v>606.99</v>
      </c>
      <c r="U1090">
        <v>0</v>
      </c>
    </row>
    <row r="1091" spans="1:24" x14ac:dyDescent="0.25">
      <c r="A1091" t="s">
        <v>124</v>
      </c>
      <c r="B1091" t="s">
        <v>41</v>
      </c>
      <c r="C1091" t="s">
        <v>31</v>
      </c>
      <c r="D1091">
        <v>2001</v>
      </c>
      <c r="E1091">
        <v>63651137</v>
      </c>
      <c r="F1091">
        <v>596448007832</v>
      </c>
      <c r="G1091">
        <v>100.99</v>
      </c>
      <c r="H1091">
        <v>103.7</v>
      </c>
      <c r="I1091">
        <v>0</v>
      </c>
      <c r="J1091">
        <v>0</v>
      </c>
      <c r="K1091">
        <v>6.79</v>
      </c>
      <c r="L1091">
        <v>6.17</v>
      </c>
      <c r="M1091">
        <v>0</v>
      </c>
      <c r="N1091">
        <v>94.2</v>
      </c>
      <c r="O1091">
        <v>0</v>
      </c>
      <c r="P1091">
        <v>0</v>
      </c>
      <c r="Q1091">
        <v>6.7229999999999999</v>
      </c>
      <c r="R1091">
        <v>93.277000000000001</v>
      </c>
      <c r="S1091">
        <v>6.7229999999999999</v>
      </c>
      <c r="T1091">
        <v>603.91999999999996</v>
      </c>
      <c r="U1091">
        <v>0</v>
      </c>
      <c r="X1091">
        <v>5.8</v>
      </c>
    </row>
    <row r="1092" spans="1:24" x14ac:dyDescent="0.25">
      <c r="A1092" t="s">
        <v>124</v>
      </c>
      <c r="B1092" t="s">
        <v>41</v>
      </c>
      <c r="C1092" t="s">
        <v>31</v>
      </c>
      <c r="D1092">
        <v>2002</v>
      </c>
      <c r="E1092">
        <v>64266433</v>
      </c>
      <c r="F1092">
        <v>630177413705</v>
      </c>
      <c r="G1092">
        <v>108.44</v>
      </c>
      <c r="H1092">
        <v>111.06</v>
      </c>
      <c r="I1092">
        <v>0</v>
      </c>
      <c r="J1092">
        <v>0</v>
      </c>
      <c r="K1092">
        <v>8.1199999999999992</v>
      </c>
      <c r="L1092">
        <v>7.37</v>
      </c>
      <c r="M1092">
        <v>0</v>
      </c>
      <c r="N1092">
        <v>100.32</v>
      </c>
      <c r="O1092">
        <v>0</v>
      </c>
      <c r="P1092">
        <v>0</v>
      </c>
      <c r="Q1092">
        <v>7.4880000000000004</v>
      </c>
      <c r="R1092">
        <v>92.512</v>
      </c>
      <c r="S1092">
        <v>7.4880000000000004</v>
      </c>
      <c r="T1092">
        <v>591.76</v>
      </c>
      <c r="U1092">
        <v>0</v>
      </c>
      <c r="X1092">
        <v>19.600000000000001</v>
      </c>
    </row>
    <row r="1093" spans="1:24" x14ac:dyDescent="0.25">
      <c r="A1093" t="s">
        <v>124</v>
      </c>
      <c r="B1093" t="s">
        <v>41</v>
      </c>
      <c r="C1093" t="s">
        <v>31</v>
      </c>
      <c r="D1093">
        <v>2003</v>
      </c>
      <c r="E1093">
        <v>64868164</v>
      </c>
      <c r="F1093">
        <v>672602585235</v>
      </c>
      <c r="G1093">
        <v>115.94</v>
      </c>
      <c r="H1093">
        <v>118.21</v>
      </c>
      <c r="I1093">
        <v>0</v>
      </c>
      <c r="J1093">
        <v>0</v>
      </c>
      <c r="K1093">
        <v>8.44</v>
      </c>
      <c r="L1093">
        <v>7.21</v>
      </c>
      <c r="M1093">
        <v>0</v>
      </c>
      <c r="N1093">
        <v>107.5</v>
      </c>
      <c r="O1093">
        <v>0</v>
      </c>
      <c r="P1093">
        <v>0</v>
      </c>
      <c r="Q1093">
        <v>7.28</v>
      </c>
      <c r="R1093">
        <v>92.72</v>
      </c>
      <c r="S1093">
        <v>7.28</v>
      </c>
      <c r="T1093">
        <v>590.04999999999995</v>
      </c>
      <c r="U1093">
        <v>0</v>
      </c>
      <c r="X1093">
        <v>3.9</v>
      </c>
    </row>
    <row r="1094" spans="1:24" x14ac:dyDescent="0.25">
      <c r="A1094" t="s">
        <v>124</v>
      </c>
      <c r="B1094" t="s">
        <v>41</v>
      </c>
      <c r="C1094" t="s">
        <v>31</v>
      </c>
      <c r="D1094">
        <v>2004</v>
      </c>
      <c r="E1094">
        <v>65452049</v>
      </c>
      <c r="F1094">
        <v>712165919937</v>
      </c>
      <c r="G1094">
        <v>124.13</v>
      </c>
      <c r="H1094">
        <v>127.25</v>
      </c>
      <c r="I1094">
        <v>0</v>
      </c>
      <c r="J1094">
        <v>0</v>
      </c>
      <c r="K1094">
        <v>7.74</v>
      </c>
      <c r="L1094">
        <v>5.9</v>
      </c>
      <c r="M1094">
        <v>0</v>
      </c>
      <c r="N1094">
        <v>116.39</v>
      </c>
      <c r="O1094">
        <v>0</v>
      </c>
      <c r="P1094">
        <v>0</v>
      </c>
      <c r="Q1094">
        <v>6.2350000000000003</v>
      </c>
      <c r="R1094">
        <v>93.765000000000001</v>
      </c>
      <c r="S1094">
        <v>6.2350000000000003</v>
      </c>
      <c r="T1094">
        <v>598</v>
      </c>
      <c r="U1094">
        <v>0</v>
      </c>
      <c r="X1094">
        <v>-8.3000000000000007</v>
      </c>
    </row>
    <row r="1095" spans="1:24" x14ac:dyDescent="0.25">
      <c r="A1095" t="s">
        <v>124</v>
      </c>
      <c r="B1095" t="s">
        <v>41</v>
      </c>
      <c r="C1095" t="s">
        <v>31</v>
      </c>
      <c r="D1095">
        <v>2005</v>
      </c>
      <c r="E1095">
        <v>66017415</v>
      </c>
      <c r="F1095">
        <v>739238460898</v>
      </c>
      <c r="G1095">
        <v>130.43</v>
      </c>
      <c r="H1095">
        <v>134.30000000000001</v>
      </c>
      <c r="I1095">
        <v>0</v>
      </c>
      <c r="J1095">
        <v>0</v>
      </c>
      <c r="K1095">
        <v>7.53</v>
      </c>
      <c r="L1095">
        <v>5.67</v>
      </c>
      <c r="M1095">
        <v>0</v>
      </c>
      <c r="N1095">
        <v>122.9</v>
      </c>
      <c r="O1095">
        <v>0</v>
      </c>
      <c r="P1095">
        <v>0</v>
      </c>
      <c r="Q1095">
        <v>5.7729999999999997</v>
      </c>
      <c r="R1095">
        <v>94.227000000000004</v>
      </c>
      <c r="S1095">
        <v>5.7729999999999997</v>
      </c>
      <c r="T1095">
        <v>599.55999999999995</v>
      </c>
      <c r="U1095">
        <v>0</v>
      </c>
      <c r="X1095">
        <v>-2.7</v>
      </c>
    </row>
    <row r="1096" spans="1:24" x14ac:dyDescent="0.25">
      <c r="A1096" t="s">
        <v>124</v>
      </c>
      <c r="B1096" t="s">
        <v>41</v>
      </c>
      <c r="C1096" t="s">
        <v>31</v>
      </c>
      <c r="D1096">
        <v>2006</v>
      </c>
      <c r="E1096">
        <v>66567685</v>
      </c>
      <c r="F1096">
        <v>773067090714</v>
      </c>
      <c r="G1096">
        <v>136.78</v>
      </c>
      <c r="H1096">
        <v>141.35</v>
      </c>
      <c r="I1096">
        <v>0.04</v>
      </c>
      <c r="J1096">
        <v>0</v>
      </c>
      <c r="K1096">
        <v>9.98</v>
      </c>
      <c r="L1096">
        <v>7.95</v>
      </c>
      <c r="M1096">
        <v>0</v>
      </c>
      <c r="N1096">
        <v>126.8</v>
      </c>
      <c r="O1096">
        <v>2.9000000000000001E-2</v>
      </c>
      <c r="P1096">
        <v>0</v>
      </c>
      <c r="Q1096">
        <v>7.2960000000000003</v>
      </c>
      <c r="R1096">
        <v>92.703999999999994</v>
      </c>
      <c r="S1096">
        <v>7.2960000000000003</v>
      </c>
      <c r="T1096">
        <v>597.24</v>
      </c>
      <c r="U1096">
        <v>0.02</v>
      </c>
      <c r="X1096">
        <v>32.5</v>
      </c>
    </row>
    <row r="1097" spans="1:24" x14ac:dyDescent="0.25">
      <c r="A1097" t="s">
        <v>124</v>
      </c>
      <c r="B1097" t="s">
        <v>41</v>
      </c>
      <c r="C1097" t="s">
        <v>31</v>
      </c>
      <c r="D1097">
        <v>2007</v>
      </c>
      <c r="E1097">
        <v>67102388</v>
      </c>
      <c r="F1097">
        <v>811667437725</v>
      </c>
      <c r="G1097">
        <v>142.53</v>
      </c>
      <c r="H1097">
        <v>146.27000000000001</v>
      </c>
      <c r="I1097">
        <v>0.04</v>
      </c>
      <c r="J1097">
        <v>0</v>
      </c>
      <c r="K1097">
        <v>10.42</v>
      </c>
      <c r="L1097">
        <v>7.96</v>
      </c>
      <c r="M1097">
        <v>0</v>
      </c>
      <c r="N1097">
        <v>132.11000000000001</v>
      </c>
      <c r="O1097">
        <v>2.8000000000000001E-2</v>
      </c>
      <c r="P1097">
        <v>0</v>
      </c>
      <c r="Q1097">
        <v>7.3109999999999999</v>
      </c>
      <c r="R1097">
        <v>92.688999999999993</v>
      </c>
      <c r="S1097">
        <v>7.3109999999999999</v>
      </c>
      <c r="T1097">
        <v>605.55999999999995</v>
      </c>
      <c r="U1097">
        <v>0.02</v>
      </c>
      <c r="V1097">
        <v>0</v>
      </c>
      <c r="X1097">
        <v>4.4000000000000004</v>
      </c>
    </row>
    <row r="1098" spans="1:24" x14ac:dyDescent="0.25">
      <c r="A1098" t="s">
        <v>124</v>
      </c>
      <c r="B1098" t="s">
        <v>41</v>
      </c>
      <c r="C1098" t="s">
        <v>31</v>
      </c>
      <c r="D1098">
        <v>2008</v>
      </c>
      <c r="E1098">
        <v>67619835</v>
      </c>
      <c r="F1098">
        <v>822020817321</v>
      </c>
      <c r="G1098">
        <v>145.44</v>
      </c>
      <c r="H1098">
        <v>147.26</v>
      </c>
      <c r="I1098">
        <v>0.04</v>
      </c>
      <c r="J1098">
        <v>0</v>
      </c>
      <c r="K1098">
        <v>9.1300000000000008</v>
      </c>
      <c r="L1098">
        <v>6.95</v>
      </c>
      <c r="M1098">
        <v>0</v>
      </c>
      <c r="N1098">
        <v>136.31</v>
      </c>
      <c r="O1098">
        <v>2.8000000000000001E-2</v>
      </c>
      <c r="P1098">
        <v>0</v>
      </c>
      <c r="Q1098">
        <v>6.2779999999999996</v>
      </c>
      <c r="R1098">
        <v>93.721999999999994</v>
      </c>
      <c r="S1098">
        <v>6.2779999999999996</v>
      </c>
      <c r="T1098">
        <v>607.74</v>
      </c>
      <c r="U1098">
        <v>0.02</v>
      </c>
      <c r="V1098">
        <v>0</v>
      </c>
      <c r="X1098">
        <v>-12.4</v>
      </c>
    </row>
    <row r="1099" spans="1:24" x14ac:dyDescent="0.25">
      <c r="A1099" t="s">
        <v>124</v>
      </c>
      <c r="B1099" t="s">
        <v>41</v>
      </c>
      <c r="C1099" t="s">
        <v>31</v>
      </c>
      <c r="D1099">
        <v>2009</v>
      </c>
      <c r="E1099">
        <v>68121077</v>
      </c>
      <c r="F1099">
        <v>812859746470</v>
      </c>
      <c r="G1099">
        <v>145.9</v>
      </c>
      <c r="H1099">
        <v>147.05000000000001</v>
      </c>
      <c r="I1099">
        <v>0.04</v>
      </c>
      <c r="J1099">
        <v>0</v>
      </c>
      <c r="K1099">
        <v>9.26</v>
      </c>
      <c r="L1099">
        <v>6.97</v>
      </c>
      <c r="M1099">
        <v>0</v>
      </c>
      <c r="N1099">
        <v>136.63999999999999</v>
      </c>
      <c r="O1099">
        <v>2.7E-2</v>
      </c>
      <c r="P1099">
        <v>0</v>
      </c>
      <c r="Q1099">
        <v>6.3470000000000004</v>
      </c>
      <c r="R1099">
        <v>93.653000000000006</v>
      </c>
      <c r="S1099">
        <v>6.3470000000000004</v>
      </c>
      <c r="T1099">
        <v>604.73</v>
      </c>
      <c r="U1099">
        <v>0.02</v>
      </c>
      <c r="V1099">
        <v>0</v>
      </c>
      <c r="X1099">
        <v>1.4</v>
      </c>
    </row>
    <row r="1100" spans="1:24" x14ac:dyDescent="0.25">
      <c r="A1100" t="s">
        <v>124</v>
      </c>
      <c r="B1100" t="s">
        <v>41</v>
      </c>
      <c r="C1100" t="s">
        <v>31</v>
      </c>
      <c r="D1100">
        <v>2010</v>
      </c>
      <c r="E1100">
        <v>68579443</v>
      </c>
      <c r="F1100">
        <v>870109340511</v>
      </c>
      <c r="G1100">
        <v>157.57</v>
      </c>
      <c r="H1100">
        <v>163.51</v>
      </c>
      <c r="I1100">
        <v>0.06</v>
      </c>
      <c r="J1100">
        <v>0</v>
      </c>
      <c r="K1100">
        <v>8.77</v>
      </c>
      <c r="L1100">
        <v>5.35</v>
      </c>
      <c r="M1100">
        <v>0</v>
      </c>
      <c r="N1100">
        <v>148.80000000000001</v>
      </c>
      <c r="O1100">
        <v>3.7999999999999999E-2</v>
      </c>
      <c r="P1100">
        <v>0</v>
      </c>
      <c r="Q1100">
        <v>5.5659999999999998</v>
      </c>
      <c r="R1100">
        <v>94.433999999999997</v>
      </c>
      <c r="S1100">
        <v>5.5659999999999998</v>
      </c>
      <c r="T1100">
        <v>605.26</v>
      </c>
      <c r="U1100">
        <v>0.03</v>
      </c>
      <c r="V1100">
        <v>50</v>
      </c>
      <c r="X1100">
        <v>-5.3</v>
      </c>
    </row>
    <row r="1101" spans="1:24" x14ac:dyDescent="0.25">
      <c r="A1101" t="s">
        <v>124</v>
      </c>
      <c r="B1101" t="s">
        <v>41</v>
      </c>
      <c r="C1101" t="s">
        <v>31</v>
      </c>
      <c r="D1101">
        <v>2011</v>
      </c>
      <c r="E1101">
        <v>69007212</v>
      </c>
      <c r="F1101">
        <v>873642799890</v>
      </c>
      <c r="G1101">
        <v>153.30000000000001</v>
      </c>
      <c r="H1101">
        <v>162.74</v>
      </c>
      <c r="I1101">
        <v>0.09</v>
      </c>
      <c r="J1101">
        <v>0</v>
      </c>
      <c r="K1101">
        <v>12</v>
      </c>
      <c r="L1101">
        <v>7.93</v>
      </c>
      <c r="M1101">
        <v>0</v>
      </c>
      <c r="N1101">
        <v>141.30000000000001</v>
      </c>
      <c r="O1101">
        <v>5.8999999999999997E-2</v>
      </c>
      <c r="P1101">
        <v>0</v>
      </c>
      <c r="Q1101">
        <v>7.8280000000000003</v>
      </c>
      <c r="R1101">
        <v>92.171999999999997</v>
      </c>
      <c r="S1101">
        <v>7.8280000000000003</v>
      </c>
      <c r="T1101">
        <v>599.79999999999995</v>
      </c>
      <c r="U1101">
        <v>0.04</v>
      </c>
      <c r="V1101">
        <v>50</v>
      </c>
      <c r="X1101">
        <v>36.799999999999997</v>
      </c>
    </row>
    <row r="1102" spans="1:24" x14ac:dyDescent="0.25">
      <c r="A1102" t="s">
        <v>124</v>
      </c>
      <c r="B1102" t="s">
        <v>41</v>
      </c>
      <c r="C1102" t="s">
        <v>31</v>
      </c>
      <c r="D1102">
        <v>2012</v>
      </c>
      <c r="E1102">
        <v>69436091</v>
      </c>
      <c r="F1102">
        <v>936920832597</v>
      </c>
      <c r="G1102">
        <v>168.96</v>
      </c>
      <c r="H1102">
        <v>177.58</v>
      </c>
      <c r="I1102">
        <v>0.5</v>
      </c>
      <c r="J1102">
        <v>0.02</v>
      </c>
      <c r="K1102">
        <v>13.65</v>
      </c>
      <c r="L1102">
        <v>8.43</v>
      </c>
      <c r="M1102">
        <v>0</v>
      </c>
      <c r="N1102">
        <v>155.31</v>
      </c>
      <c r="O1102">
        <v>0.29599999999999999</v>
      </c>
      <c r="P1102">
        <v>1.2E-2</v>
      </c>
      <c r="Q1102">
        <v>8.0790000000000006</v>
      </c>
      <c r="R1102">
        <v>91.921000000000006</v>
      </c>
      <c r="S1102">
        <v>8.0790000000000006</v>
      </c>
      <c r="T1102">
        <v>596.89</v>
      </c>
      <c r="U1102">
        <v>0.23</v>
      </c>
      <c r="V1102">
        <v>455.6</v>
      </c>
      <c r="X1102">
        <v>13.7</v>
      </c>
    </row>
    <row r="1103" spans="1:24" x14ac:dyDescent="0.25">
      <c r="A1103" t="s">
        <v>124</v>
      </c>
      <c r="B1103" t="s">
        <v>41</v>
      </c>
      <c r="C1103" t="s">
        <v>31</v>
      </c>
      <c r="D1103">
        <v>2013</v>
      </c>
      <c r="E1103">
        <v>69845112</v>
      </c>
      <c r="F1103">
        <v>962095812070</v>
      </c>
      <c r="G1103">
        <v>168.64</v>
      </c>
      <c r="H1103">
        <v>179.93</v>
      </c>
      <c r="I1103">
        <v>1.26</v>
      </c>
      <c r="J1103">
        <v>0.35</v>
      </c>
      <c r="K1103">
        <v>12.65</v>
      </c>
      <c r="L1103">
        <v>5.41</v>
      </c>
      <c r="M1103">
        <v>0</v>
      </c>
      <c r="N1103">
        <v>155.99</v>
      </c>
      <c r="O1103">
        <v>0.747</v>
      </c>
      <c r="P1103">
        <v>0.20799999999999999</v>
      </c>
      <c r="Q1103">
        <v>7.5010000000000003</v>
      </c>
      <c r="R1103">
        <v>92.498999999999995</v>
      </c>
      <c r="S1103">
        <v>7.5010000000000003</v>
      </c>
      <c r="T1103">
        <v>601.82000000000005</v>
      </c>
      <c r="U1103">
        <v>0.72</v>
      </c>
      <c r="V1103">
        <v>152</v>
      </c>
      <c r="W1103">
        <v>1650</v>
      </c>
      <c r="X1103">
        <v>-7.3</v>
      </c>
    </row>
    <row r="1104" spans="1:24" x14ac:dyDescent="0.25">
      <c r="A1104" t="s">
        <v>124</v>
      </c>
      <c r="B1104" t="s">
        <v>41</v>
      </c>
      <c r="C1104" t="s">
        <v>31</v>
      </c>
      <c r="D1104">
        <v>2014</v>
      </c>
      <c r="E1104">
        <v>70216362</v>
      </c>
      <c r="F1104">
        <v>971562808709</v>
      </c>
      <c r="G1104">
        <v>173.76</v>
      </c>
      <c r="H1104">
        <v>183.95</v>
      </c>
      <c r="I1104">
        <v>1.93</v>
      </c>
      <c r="J1104">
        <v>0.4</v>
      </c>
      <c r="K1104">
        <v>14.21</v>
      </c>
      <c r="L1104">
        <v>5.16</v>
      </c>
      <c r="M1104">
        <v>0</v>
      </c>
      <c r="N1104">
        <v>159.55000000000001</v>
      </c>
      <c r="O1104">
        <v>1.111</v>
      </c>
      <c r="P1104">
        <v>0.23</v>
      </c>
      <c r="Q1104">
        <v>8.1780000000000008</v>
      </c>
      <c r="R1104">
        <v>91.822000000000003</v>
      </c>
      <c r="S1104">
        <v>8.1780000000000008</v>
      </c>
      <c r="T1104">
        <v>601.29</v>
      </c>
      <c r="U1104">
        <v>1.05</v>
      </c>
      <c r="V1104">
        <v>53.2</v>
      </c>
      <c r="W1104">
        <v>14.3</v>
      </c>
      <c r="X1104">
        <v>12.3</v>
      </c>
    </row>
    <row r="1105" spans="1:25" x14ac:dyDescent="0.25">
      <c r="A1105" t="s">
        <v>124</v>
      </c>
      <c r="B1105" t="s">
        <v>41</v>
      </c>
      <c r="C1105" t="s">
        <v>31</v>
      </c>
      <c r="D1105">
        <v>2015</v>
      </c>
      <c r="E1105">
        <v>70540787</v>
      </c>
      <c r="F1105">
        <v>1002011619070</v>
      </c>
      <c r="G1105">
        <v>177.83</v>
      </c>
      <c r="H1105">
        <v>189.98</v>
      </c>
      <c r="I1105">
        <v>2.38</v>
      </c>
      <c r="J1105">
        <v>0.33</v>
      </c>
      <c r="K1105">
        <v>13.81</v>
      </c>
      <c r="L1105">
        <v>3.76</v>
      </c>
      <c r="M1105">
        <v>0</v>
      </c>
      <c r="N1105">
        <v>164.02</v>
      </c>
      <c r="O1105">
        <v>1.3380000000000001</v>
      </c>
      <c r="P1105">
        <v>0.186</v>
      </c>
      <c r="Q1105">
        <v>7.766</v>
      </c>
      <c r="R1105">
        <v>92.233999999999995</v>
      </c>
      <c r="S1105">
        <v>7.766</v>
      </c>
      <c r="T1105">
        <v>597.14</v>
      </c>
      <c r="U1105">
        <v>1.22</v>
      </c>
      <c r="V1105">
        <v>23.3</v>
      </c>
      <c r="W1105">
        <v>-17.5</v>
      </c>
      <c r="X1105">
        <v>-2.8</v>
      </c>
    </row>
    <row r="1106" spans="1:25" x14ac:dyDescent="0.25">
      <c r="A1106" t="s">
        <v>124</v>
      </c>
      <c r="B1106" t="s">
        <v>41</v>
      </c>
      <c r="C1106" t="s">
        <v>31</v>
      </c>
      <c r="D1106">
        <v>2016</v>
      </c>
      <c r="E1106">
        <v>70859835</v>
      </c>
      <c r="F1106">
        <v>1036430730493</v>
      </c>
      <c r="G1106">
        <v>179.82</v>
      </c>
      <c r="H1106">
        <v>198.21</v>
      </c>
      <c r="I1106">
        <v>3.55</v>
      </c>
      <c r="J1106">
        <v>0.38</v>
      </c>
      <c r="K1106">
        <v>16.07</v>
      </c>
      <c r="L1106">
        <v>3.54</v>
      </c>
      <c r="M1106">
        <v>0</v>
      </c>
      <c r="N1106">
        <v>163.75</v>
      </c>
      <c r="O1106">
        <v>1.974</v>
      </c>
      <c r="P1106">
        <v>0.21099999999999999</v>
      </c>
      <c r="Q1106">
        <v>8.9369999999999994</v>
      </c>
      <c r="R1106">
        <v>91.063000000000002</v>
      </c>
      <c r="S1106">
        <v>8.9369999999999994</v>
      </c>
      <c r="T1106">
        <v>595.48</v>
      </c>
      <c r="U1106">
        <v>1.77</v>
      </c>
      <c r="V1106">
        <v>49.2</v>
      </c>
      <c r="W1106">
        <v>15.2</v>
      </c>
      <c r="X1106">
        <v>16.399999999999999</v>
      </c>
    </row>
    <row r="1107" spans="1:25" x14ac:dyDescent="0.25">
      <c r="A1107" t="s">
        <v>124</v>
      </c>
      <c r="B1107" t="s">
        <v>41</v>
      </c>
      <c r="C1107" t="s">
        <v>31</v>
      </c>
      <c r="D1107">
        <v>2017</v>
      </c>
      <c r="E1107">
        <v>71160183</v>
      </c>
      <c r="F1107">
        <v>1079732734924</v>
      </c>
      <c r="G1107">
        <v>176.73</v>
      </c>
      <c r="H1107">
        <v>200.05</v>
      </c>
      <c r="I1107">
        <v>4.54</v>
      </c>
      <c r="J1107">
        <v>1.1100000000000001</v>
      </c>
      <c r="K1107">
        <v>19.63</v>
      </c>
      <c r="L1107">
        <v>4.6900000000000004</v>
      </c>
      <c r="M1107">
        <v>0</v>
      </c>
      <c r="N1107">
        <v>157.1</v>
      </c>
      <c r="O1107">
        <v>2.569</v>
      </c>
      <c r="P1107">
        <v>0.628</v>
      </c>
      <c r="Q1107">
        <v>11.106999999999999</v>
      </c>
      <c r="R1107">
        <v>88.893000000000001</v>
      </c>
      <c r="S1107">
        <v>11.106999999999999</v>
      </c>
      <c r="T1107">
        <v>583.32000000000005</v>
      </c>
      <c r="U1107">
        <v>2.54</v>
      </c>
      <c r="V1107">
        <v>27.9</v>
      </c>
      <c r="W1107">
        <v>192.1</v>
      </c>
      <c r="X1107">
        <v>22.2</v>
      </c>
    </row>
    <row r="1108" spans="1:25" x14ac:dyDescent="0.25">
      <c r="A1108" t="s">
        <v>124</v>
      </c>
      <c r="B1108" t="s">
        <v>41</v>
      </c>
      <c r="C1108" t="s">
        <v>31</v>
      </c>
      <c r="D1108">
        <v>2018</v>
      </c>
      <c r="E1108">
        <v>71376081</v>
      </c>
      <c r="F1108">
        <v>1125329902301</v>
      </c>
      <c r="G1108">
        <v>177.76</v>
      </c>
      <c r="H1108">
        <v>203.34</v>
      </c>
      <c r="I1108">
        <v>4.54</v>
      </c>
      <c r="J1108">
        <v>1.64</v>
      </c>
      <c r="K1108">
        <v>25.52</v>
      </c>
      <c r="L1108">
        <v>7.6</v>
      </c>
      <c r="M1108">
        <v>0</v>
      </c>
      <c r="N1108">
        <v>152.24</v>
      </c>
      <c r="O1108">
        <v>2.5539999999999998</v>
      </c>
      <c r="P1108">
        <v>0.92300000000000004</v>
      </c>
      <c r="Q1108">
        <v>14.356</v>
      </c>
      <c r="R1108">
        <v>85.644000000000005</v>
      </c>
      <c r="S1108">
        <v>14.356</v>
      </c>
      <c r="T1108">
        <v>567.79</v>
      </c>
      <c r="U1108">
        <v>2.78</v>
      </c>
      <c r="V1108">
        <v>0</v>
      </c>
      <c r="W1108">
        <v>47.7</v>
      </c>
      <c r="X1108">
        <v>30</v>
      </c>
    </row>
    <row r="1109" spans="1:25" x14ac:dyDescent="0.25">
      <c r="A1109" t="s">
        <v>124</v>
      </c>
      <c r="B1109" t="s">
        <v>41</v>
      </c>
      <c r="C1109" t="s">
        <v>31</v>
      </c>
      <c r="D1109">
        <v>2019</v>
      </c>
      <c r="E1109">
        <v>71522264</v>
      </c>
      <c r="F1109">
        <v>1149130685920</v>
      </c>
      <c r="G1109">
        <v>186.51</v>
      </c>
      <c r="H1109">
        <v>209.17</v>
      </c>
      <c r="I1109">
        <v>5.15</v>
      </c>
      <c r="J1109">
        <v>3.67</v>
      </c>
      <c r="K1109">
        <v>27.72</v>
      </c>
      <c r="L1109">
        <v>6.31</v>
      </c>
      <c r="M1109">
        <v>0</v>
      </c>
      <c r="N1109">
        <v>158.79</v>
      </c>
      <c r="O1109">
        <v>2.7610000000000001</v>
      </c>
      <c r="P1109">
        <v>1.968</v>
      </c>
      <c r="Q1109">
        <v>14.862</v>
      </c>
      <c r="R1109">
        <v>85.138000000000005</v>
      </c>
      <c r="S1109">
        <v>14.862</v>
      </c>
      <c r="T1109">
        <v>562.28</v>
      </c>
      <c r="U1109">
        <v>3.97</v>
      </c>
      <c r="V1109">
        <v>13.4</v>
      </c>
      <c r="W1109">
        <v>123.8</v>
      </c>
      <c r="X1109">
        <v>8.6</v>
      </c>
    </row>
    <row r="1110" spans="1:25" x14ac:dyDescent="0.25">
      <c r="A1110" t="s">
        <v>124</v>
      </c>
      <c r="B1110" t="s">
        <v>41</v>
      </c>
      <c r="C1110" t="s">
        <v>31</v>
      </c>
      <c r="D1110">
        <v>2020</v>
      </c>
      <c r="E1110">
        <v>71641484</v>
      </c>
      <c r="F1110">
        <v>1078332670656</v>
      </c>
      <c r="G1110">
        <v>176.48</v>
      </c>
      <c r="H1110">
        <v>203.41</v>
      </c>
      <c r="I1110">
        <v>5.03</v>
      </c>
      <c r="J1110">
        <v>3.22</v>
      </c>
      <c r="K1110">
        <v>25.08</v>
      </c>
      <c r="L1110">
        <v>4.54</v>
      </c>
      <c r="M1110">
        <v>0</v>
      </c>
      <c r="N1110">
        <v>151.4</v>
      </c>
      <c r="O1110">
        <v>2.85</v>
      </c>
      <c r="P1110">
        <v>1.825</v>
      </c>
      <c r="Q1110">
        <v>14.211</v>
      </c>
      <c r="R1110">
        <v>85.789000000000001</v>
      </c>
      <c r="S1110">
        <v>14.211</v>
      </c>
      <c r="T1110">
        <v>570.49</v>
      </c>
      <c r="U1110">
        <v>3.71</v>
      </c>
      <c r="V1110">
        <v>-2.2999999999999998</v>
      </c>
      <c r="W1110">
        <v>-12.3</v>
      </c>
      <c r="X1110">
        <v>-9.5</v>
      </c>
    </row>
    <row r="1111" spans="1:25" x14ac:dyDescent="0.25">
      <c r="A1111" t="s">
        <v>124</v>
      </c>
      <c r="B1111" t="s">
        <v>41</v>
      </c>
      <c r="C1111" t="s">
        <v>31</v>
      </c>
      <c r="D1111">
        <v>2021</v>
      </c>
      <c r="E1111">
        <v>71727338</v>
      </c>
      <c r="F1111">
        <v>1095187026392</v>
      </c>
      <c r="G1111">
        <v>176.36</v>
      </c>
      <c r="H1111">
        <v>207.75</v>
      </c>
      <c r="I1111">
        <v>4.99</v>
      </c>
      <c r="J1111">
        <v>3.53</v>
      </c>
      <c r="K1111">
        <v>26.47</v>
      </c>
      <c r="L1111">
        <v>4.54</v>
      </c>
      <c r="M1111">
        <v>0</v>
      </c>
      <c r="N1111">
        <v>149.88999999999999</v>
      </c>
      <c r="O1111">
        <v>2.8290000000000002</v>
      </c>
      <c r="P1111">
        <v>2.0019999999999998</v>
      </c>
      <c r="Q1111">
        <v>15.009</v>
      </c>
      <c r="R1111">
        <v>84.991</v>
      </c>
      <c r="S1111">
        <v>15.009</v>
      </c>
      <c r="T1111">
        <v>566.05999999999995</v>
      </c>
      <c r="U1111">
        <v>3.83</v>
      </c>
      <c r="V1111">
        <v>-0.8</v>
      </c>
      <c r="W1111">
        <v>9.6</v>
      </c>
      <c r="X1111">
        <v>5.5</v>
      </c>
    </row>
    <row r="1112" spans="1:25" x14ac:dyDescent="0.25">
      <c r="A1112" t="s">
        <v>124</v>
      </c>
      <c r="B1112" t="s">
        <v>41</v>
      </c>
      <c r="C1112" t="s">
        <v>31</v>
      </c>
      <c r="D1112">
        <v>2022</v>
      </c>
      <c r="E1112">
        <v>71735321</v>
      </c>
      <c r="F1112">
        <v>1124143758569</v>
      </c>
      <c r="G1112">
        <v>180.37</v>
      </c>
      <c r="H1112">
        <v>213.78</v>
      </c>
      <c r="I1112">
        <v>5.03</v>
      </c>
      <c r="J1112">
        <v>2.99</v>
      </c>
      <c r="K1112">
        <v>28.48</v>
      </c>
      <c r="L1112">
        <v>6.6</v>
      </c>
      <c r="M1112">
        <v>0</v>
      </c>
      <c r="N1112">
        <v>151.88999999999999</v>
      </c>
      <c r="O1112">
        <v>2.7890000000000001</v>
      </c>
      <c r="P1112">
        <v>1.6579999999999999</v>
      </c>
      <c r="Q1112">
        <v>15.79</v>
      </c>
      <c r="R1112">
        <v>84.21</v>
      </c>
      <c r="S1112">
        <v>15.79</v>
      </c>
      <c r="T1112">
        <v>560.29</v>
      </c>
      <c r="U1112">
        <v>3.61</v>
      </c>
      <c r="V1112">
        <v>0.8</v>
      </c>
      <c r="W1112">
        <v>-15.3</v>
      </c>
      <c r="X1112">
        <v>7.6</v>
      </c>
      <c r="Y1112" t="s">
        <v>125</v>
      </c>
    </row>
    <row r="1113" spans="1:25" x14ac:dyDescent="0.25">
      <c r="A1113" t="s">
        <v>124</v>
      </c>
      <c r="B1113" t="s">
        <v>41</v>
      </c>
      <c r="C1113" t="s">
        <v>31</v>
      </c>
      <c r="D1113">
        <v>2023</v>
      </c>
      <c r="E1113">
        <v>71702436</v>
      </c>
      <c r="G1113">
        <v>190.48</v>
      </c>
      <c r="H1113">
        <v>221.03</v>
      </c>
      <c r="I1113">
        <v>5.14</v>
      </c>
      <c r="J1113">
        <v>3.74</v>
      </c>
      <c r="K1113">
        <v>29.76</v>
      </c>
      <c r="L1113">
        <v>6.59</v>
      </c>
      <c r="M1113">
        <v>0</v>
      </c>
      <c r="N1113">
        <v>160.72</v>
      </c>
      <c r="O1113">
        <v>2.698</v>
      </c>
      <c r="P1113">
        <v>1.9630000000000001</v>
      </c>
      <c r="Q1113">
        <v>15.624000000000001</v>
      </c>
      <c r="R1113">
        <v>84.376000000000005</v>
      </c>
      <c r="S1113">
        <v>15.624000000000001</v>
      </c>
      <c r="T1113">
        <v>549.24</v>
      </c>
      <c r="U1113">
        <v>4</v>
      </c>
      <c r="V1113">
        <v>2.2000000000000002</v>
      </c>
      <c r="W1113">
        <v>25.1</v>
      </c>
      <c r="X1113">
        <v>4.5</v>
      </c>
    </row>
    <row r="1114" spans="1:25" x14ac:dyDescent="0.25">
      <c r="A1114" t="s">
        <v>124</v>
      </c>
      <c r="B1114" t="s">
        <v>41</v>
      </c>
      <c r="C1114" t="s">
        <v>31</v>
      </c>
      <c r="D1114">
        <v>2024</v>
      </c>
      <c r="E1114">
        <v>71668010</v>
      </c>
      <c r="G1114">
        <v>199.52</v>
      </c>
      <c r="H1114">
        <v>231.93</v>
      </c>
      <c r="I1114">
        <v>5.43</v>
      </c>
      <c r="J1114">
        <v>3.38</v>
      </c>
      <c r="K1114">
        <v>29.61</v>
      </c>
      <c r="L1114">
        <v>6.41</v>
      </c>
      <c r="M1114">
        <v>0</v>
      </c>
      <c r="N1114">
        <v>169.91</v>
      </c>
      <c r="O1114">
        <v>2.722</v>
      </c>
      <c r="P1114">
        <v>1.694</v>
      </c>
      <c r="Q1114">
        <v>14.840999999999999</v>
      </c>
      <c r="R1114">
        <v>85.159000000000006</v>
      </c>
      <c r="S1114">
        <v>14.840999999999999</v>
      </c>
      <c r="T1114">
        <v>554.73</v>
      </c>
      <c r="U1114">
        <v>3.96</v>
      </c>
      <c r="V1114">
        <v>5.6</v>
      </c>
      <c r="W1114">
        <v>-9.6</v>
      </c>
      <c r="X1114">
        <v>-0.5</v>
      </c>
    </row>
    <row r="1115" spans="1:25" x14ac:dyDescent="0.25">
      <c r="A1115" t="s">
        <v>124</v>
      </c>
      <c r="B1115" t="s">
        <v>41</v>
      </c>
      <c r="C1115" t="s">
        <v>31</v>
      </c>
      <c r="D1115">
        <v>2025</v>
      </c>
      <c r="E1115">
        <v>71619866</v>
      </c>
      <c r="G1115">
        <v>188.24</v>
      </c>
      <c r="H1115">
        <v>225.1</v>
      </c>
      <c r="I1115">
        <v>9.98</v>
      </c>
      <c r="J1115">
        <v>3.41</v>
      </c>
      <c r="K1115">
        <v>31.2</v>
      </c>
      <c r="L1115">
        <v>7.62</v>
      </c>
      <c r="N1115">
        <v>157.04</v>
      </c>
      <c r="O1115">
        <v>5.3019999999999996</v>
      </c>
      <c r="P1115">
        <v>1.8120000000000001</v>
      </c>
      <c r="Q1115">
        <v>16.574999999999999</v>
      </c>
      <c r="R1115">
        <v>83.424999999999997</v>
      </c>
      <c r="S1115">
        <v>16.574999999999999</v>
      </c>
      <c r="T1115">
        <v>545.74</v>
      </c>
      <c r="U1115">
        <v>6.03</v>
      </c>
      <c r="V1115">
        <v>83.8</v>
      </c>
      <c r="W1115">
        <v>0.9</v>
      </c>
      <c r="X1115">
        <v>5.4</v>
      </c>
    </row>
    <row r="1116" spans="1:25" x14ac:dyDescent="0.25">
      <c r="A1116" t="s">
        <v>126</v>
      </c>
      <c r="B1116" t="s">
        <v>109</v>
      </c>
      <c r="C1116" t="s">
        <v>31</v>
      </c>
      <c r="D1116">
        <v>2000</v>
      </c>
      <c r="E1116">
        <v>65425957</v>
      </c>
      <c r="F1116">
        <v>785054993224</v>
      </c>
      <c r="G1116">
        <v>124.38</v>
      </c>
      <c r="H1116">
        <v>127.73</v>
      </c>
      <c r="I1116">
        <v>0</v>
      </c>
      <c r="J1116">
        <v>0.03</v>
      </c>
      <c r="K1116">
        <v>31.16</v>
      </c>
      <c r="L1116">
        <v>30.88</v>
      </c>
      <c r="M1116">
        <v>0</v>
      </c>
      <c r="N1116">
        <v>93.22</v>
      </c>
      <c r="O1116">
        <v>0</v>
      </c>
      <c r="P1116">
        <v>2.4E-2</v>
      </c>
      <c r="Q1116">
        <v>25.052</v>
      </c>
      <c r="R1116">
        <v>74.947999999999993</v>
      </c>
      <c r="S1116">
        <v>25.052</v>
      </c>
      <c r="T1116">
        <v>574.13</v>
      </c>
      <c r="U1116">
        <v>0.01</v>
      </c>
    </row>
    <row r="1117" spans="1:25" x14ac:dyDescent="0.25">
      <c r="A1117" t="s">
        <v>126</v>
      </c>
      <c r="B1117" t="s">
        <v>109</v>
      </c>
      <c r="C1117" t="s">
        <v>31</v>
      </c>
      <c r="D1117">
        <v>2001</v>
      </c>
      <c r="E1117">
        <v>66245125</v>
      </c>
      <c r="F1117">
        <v>732284634333</v>
      </c>
      <c r="G1117">
        <v>122.24</v>
      </c>
      <c r="H1117">
        <v>126.39</v>
      </c>
      <c r="I1117">
        <v>0</v>
      </c>
      <c r="J1117">
        <v>0.06</v>
      </c>
      <c r="K1117">
        <v>24.34</v>
      </c>
      <c r="L1117">
        <v>24.01</v>
      </c>
      <c r="M1117">
        <v>0</v>
      </c>
      <c r="N1117">
        <v>97.9</v>
      </c>
      <c r="O1117">
        <v>0</v>
      </c>
      <c r="P1117">
        <v>4.9000000000000002E-2</v>
      </c>
      <c r="Q1117">
        <v>19.911999999999999</v>
      </c>
      <c r="R1117">
        <v>80.087999999999994</v>
      </c>
      <c r="S1117">
        <v>19.911999999999999</v>
      </c>
      <c r="T1117">
        <v>605.29</v>
      </c>
      <c r="U1117">
        <v>0.03</v>
      </c>
      <c r="W1117">
        <v>100</v>
      </c>
      <c r="X1117">
        <v>-21.9</v>
      </c>
    </row>
    <row r="1118" spans="1:25" x14ac:dyDescent="0.25">
      <c r="A1118" t="s">
        <v>126</v>
      </c>
      <c r="B1118" t="s">
        <v>109</v>
      </c>
      <c r="C1118" t="s">
        <v>31</v>
      </c>
      <c r="D1118">
        <v>2002</v>
      </c>
      <c r="E1118">
        <v>67048792</v>
      </c>
      <c r="F1118">
        <v>796073298321</v>
      </c>
      <c r="G1118">
        <v>128.46</v>
      </c>
      <c r="H1118">
        <v>131.61000000000001</v>
      </c>
      <c r="I1118">
        <v>0</v>
      </c>
      <c r="J1118">
        <v>0.05</v>
      </c>
      <c r="K1118">
        <v>33.96</v>
      </c>
      <c r="L1118">
        <v>33.68</v>
      </c>
      <c r="M1118">
        <v>0</v>
      </c>
      <c r="N1118">
        <v>94.5</v>
      </c>
      <c r="O1118">
        <v>0</v>
      </c>
      <c r="P1118">
        <v>3.9E-2</v>
      </c>
      <c r="Q1118">
        <v>26.436</v>
      </c>
      <c r="R1118">
        <v>73.563999999999993</v>
      </c>
      <c r="S1118">
        <v>26.436</v>
      </c>
      <c r="T1118">
        <v>536.42999999999995</v>
      </c>
      <c r="U1118">
        <v>0.02</v>
      </c>
      <c r="W1118">
        <v>-16.7</v>
      </c>
      <c r="X1118">
        <v>39.5</v>
      </c>
    </row>
    <row r="1119" spans="1:25" x14ac:dyDescent="0.25">
      <c r="A1119" t="s">
        <v>126</v>
      </c>
      <c r="B1119" t="s">
        <v>109</v>
      </c>
      <c r="C1119" t="s">
        <v>31</v>
      </c>
      <c r="D1119">
        <v>2003</v>
      </c>
      <c r="E1119">
        <v>67831735</v>
      </c>
      <c r="F1119">
        <v>848549642280</v>
      </c>
      <c r="G1119">
        <v>139.54</v>
      </c>
      <c r="H1119">
        <v>140.11000000000001</v>
      </c>
      <c r="I1119">
        <v>0</v>
      </c>
      <c r="J1119">
        <v>0.06</v>
      </c>
      <c r="K1119">
        <v>35.56</v>
      </c>
      <c r="L1119">
        <v>35.33</v>
      </c>
      <c r="M1119">
        <v>0</v>
      </c>
      <c r="N1119">
        <v>103.98</v>
      </c>
      <c r="O1119">
        <v>0</v>
      </c>
      <c r="P1119">
        <v>4.2999999999999997E-2</v>
      </c>
      <c r="Q1119">
        <v>25.484000000000002</v>
      </c>
      <c r="R1119">
        <v>74.516000000000005</v>
      </c>
      <c r="S1119">
        <v>25.484000000000002</v>
      </c>
      <c r="T1119">
        <v>524.79999999999995</v>
      </c>
      <c r="U1119">
        <v>0.03</v>
      </c>
      <c r="W1119">
        <v>20</v>
      </c>
      <c r="X1119">
        <v>4.7</v>
      </c>
    </row>
    <row r="1120" spans="1:25" x14ac:dyDescent="0.25">
      <c r="A1120" t="s">
        <v>126</v>
      </c>
      <c r="B1120" t="s">
        <v>109</v>
      </c>
      <c r="C1120" t="s">
        <v>31</v>
      </c>
      <c r="D1120">
        <v>2004</v>
      </c>
      <c r="E1120">
        <v>68592621</v>
      </c>
      <c r="F1120">
        <v>931152861082</v>
      </c>
      <c r="G1120">
        <v>149.75</v>
      </c>
      <c r="H1120">
        <v>149.07</v>
      </c>
      <c r="I1120">
        <v>0</v>
      </c>
      <c r="J1120">
        <v>0.06</v>
      </c>
      <c r="K1120">
        <v>46.31</v>
      </c>
      <c r="L1120">
        <v>46.08</v>
      </c>
      <c r="M1120">
        <v>0</v>
      </c>
      <c r="N1120">
        <v>103.44</v>
      </c>
      <c r="O1120">
        <v>0</v>
      </c>
      <c r="P1120">
        <v>0.04</v>
      </c>
      <c r="Q1120">
        <v>30.925000000000001</v>
      </c>
      <c r="R1120">
        <v>69.075000000000003</v>
      </c>
      <c r="S1120">
        <v>30.925000000000001</v>
      </c>
      <c r="T1120">
        <v>494.22</v>
      </c>
      <c r="U1120">
        <v>0.03</v>
      </c>
      <c r="W1120">
        <v>0</v>
      </c>
      <c r="X1120">
        <v>30.2</v>
      </c>
    </row>
    <row r="1121" spans="1:24" x14ac:dyDescent="0.25">
      <c r="A1121" t="s">
        <v>126</v>
      </c>
      <c r="B1121" t="s">
        <v>109</v>
      </c>
      <c r="C1121" t="s">
        <v>31</v>
      </c>
      <c r="D1121">
        <v>2005</v>
      </c>
      <c r="E1121">
        <v>69329557</v>
      </c>
      <c r="F1121">
        <v>1017383777200</v>
      </c>
      <c r="G1121">
        <v>161.63</v>
      </c>
      <c r="H1121">
        <v>160.47</v>
      </c>
      <c r="I1121">
        <v>0</v>
      </c>
      <c r="J1121">
        <v>0.06</v>
      </c>
      <c r="K1121">
        <v>39.74</v>
      </c>
      <c r="L1121">
        <v>39.56</v>
      </c>
      <c r="M1121">
        <v>0</v>
      </c>
      <c r="N1121">
        <v>121.89</v>
      </c>
      <c r="O1121">
        <v>0</v>
      </c>
      <c r="P1121">
        <v>3.6999999999999998E-2</v>
      </c>
      <c r="Q1121">
        <v>24.587</v>
      </c>
      <c r="R1121">
        <v>75.412999999999997</v>
      </c>
      <c r="S1121">
        <v>24.587</v>
      </c>
      <c r="T1121">
        <v>543.59</v>
      </c>
      <c r="U1121">
        <v>0.03</v>
      </c>
      <c r="W1121">
        <v>0</v>
      </c>
      <c r="X1121">
        <v>-14.2</v>
      </c>
    </row>
    <row r="1122" spans="1:24" x14ac:dyDescent="0.25">
      <c r="A1122" t="s">
        <v>126</v>
      </c>
      <c r="B1122" t="s">
        <v>109</v>
      </c>
      <c r="C1122" t="s">
        <v>31</v>
      </c>
      <c r="D1122">
        <v>2006</v>
      </c>
      <c r="E1122">
        <v>70045351</v>
      </c>
      <c r="F1122">
        <v>1096826103018</v>
      </c>
      <c r="G1122">
        <v>176.25</v>
      </c>
      <c r="H1122">
        <v>174.59</v>
      </c>
      <c r="I1122">
        <v>0</v>
      </c>
      <c r="J1122">
        <v>0.13</v>
      </c>
      <c r="K1122">
        <v>44.52</v>
      </c>
      <c r="L1122">
        <v>44.24</v>
      </c>
      <c r="M1122">
        <v>0</v>
      </c>
      <c r="N1122">
        <v>131.72999999999999</v>
      </c>
      <c r="O1122">
        <v>0</v>
      </c>
      <c r="P1122">
        <v>7.3999999999999996E-2</v>
      </c>
      <c r="Q1122">
        <v>25.26</v>
      </c>
      <c r="R1122">
        <v>74.739999999999995</v>
      </c>
      <c r="S1122">
        <v>25.26</v>
      </c>
      <c r="T1122">
        <v>537.48</v>
      </c>
      <c r="U1122">
        <v>0.06</v>
      </c>
      <c r="W1122">
        <v>116.7</v>
      </c>
      <c r="X1122">
        <v>12</v>
      </c>
    </row>
    <row r="1123" spans="1:24" x14ac:dyDescent="0.25">
      <c r="A1123" t="s">
        <v>126</v>
      </c>
      <c r="B1123" t="s">
        <v>109</v>
      </c>
      <c r="C1123" t="s">
        <v>31</v>
      </c>
      <c r="D1123">
        <v>2007</v>
      </c>
      <c r="E1123">
        <v>70750593</v>
      </c>
      <c r="F1123">
        <v>1158406990670</v>
      </c>
      <c r="G1123">
        <v>191.52</v>
      </c>
      <c r="H1123">
        <v>189.96</v>
      </c>
      <c r="I1123">
        <v>0</v>
      </c>
      <c r="J1123">
        <v>0.36</v>
      </c>
      <c r="K1123">
        <v>36.46</v>
      </c>
      <c r="L1123">
        <v>35.85</v>
      </c>
      <c r="M1123">
        <v>0</v>
      </c>
      <c r="N1123">
        <v>155.06</v>
      </c>
      <c r="O1123">
        <v>0</v>
      </c>
      <c r="P1123">
        <v>0.188</v>
      </c>
      <c r="Q1123">
        <v>19.036999999999999</v>
      </c>
      <c r="R1123">
        <v>80.962999999999994</v>
      </c>
      <c r="S1123">
        <v>19.036999999999999</v>
      </c>
      <c r="T1123">
        <v>577.79999999999995</v>
      </c>
      <c r="U1123">
        <v>0.16</v>
      </c>
      <c r="W1123">
        <v>176.9</v>
      </c>
      <c r="X1123">
        <v>-18.100000000000001</v>
      </c>
    </row>
    <row r="1124" spans="1:24" x14ac:dyDescent="0.25">
      <c r="A1124" t="s">
        <v>126</v>
      </c>
      <c r="B1124" t="s">
        <v>109</v>
      </c>
      <c r="C1124" t="s">
        <v>31</v>
      </c>
      <c r="D1124">
        <v>2008</v>
      </c>
      <c r="E1124">
        <v>71562343</v>
      </c>
      <c r="F1124">
        <v>1179868355277</v>
      </c>
      <c r="G1124">
        <v>198.37</v>
      </c>
      <c r="H1124">
        <v>198.04</v>
      </c>
      <c r="I1124">
        <v>0</v>
      </c>
      <c r="J1124">
        <v>0.85</v>
      </c>
      <c r="K1124">
        <v>34.42</v>
      </c>
      <c r="L1124">
        <v>33.270000000000003</v>
      </c>
      <c r="M1124">
        <v>0</v>
      </c>
      <c r="N1124">
        <v>163.95</v>
      </c>
      <c r="O1124">
        <v>0</v>
      </c>
      <c r="P1124">
        <v>0.42799999999999999</v>
      </c>
      <c r="Q1124">
        <v>17.350999999999999</v>
      </c>
      <c r="R1124">
        <v>82.649000000000001</v>
      </c>
      <c r="S1124">
        <v>17.350999999999999</v>
      </c>
      <c r="T1124">
        <v>593.54</v>
      </c>
      <c r="U1124">
        <v>0.38</v>
      </c>
      <c r="W1124">
        <v>136.1</v>
      </c>
      <c r="X1124">
        <v>-5.6</v>
      </c>
    </row>
    <row r="1125" spans="1:24" x14ac:dyDescent="0.25">
      <c r="A1125" t="s">
        <v>126</v>
      </c>
      <c r="B1125" t="s">
        <v>109</v>
      </c>
      <c r="C1125" t="s">
        <v>31</v>
      </c>
      <c r="D1125">
        <v>2009</v>
      </c>
      <c r="E1125">
        <v>72464846</v>
      </c>
      <c r="F1125">
        <v>1122756788420</v>
      </c>
      <c r="G1125">
        <v>194.81</v>
      </c>
      <c r="H1125">
        <v>194.08</v>
      </c>
      <c r="I1125">
        <v>0</v>
      </c>
      <c r="J1125">
        <v>1.5</v>
      </c>
      <c r="K1125">
        <v>38.15</v>
      </c>
      <c r="L1125">
        <v>35.96</v>
      </c>
      <c r="M1125">
        <v>0</v>
      </c>
      <c r="N1125">
        <v>156.66</v>
      </c>
      <c r="O1125">
        <v>0</v>
      </c>
      <c r="P1125">
        <v>0.77</v>
      </c>
      <c r="Q1125">
        <v>19.582999999999998</v>
      </c>
      <c r="R1125">
        <v>80.417000000000002</v>
      </c>
      <c r="S1125">
        <v>19.582999999999998</v>
      </c>
      <c r="T1125">
        <v>577.02</v>
      </c>
      <c r="U1125">
        <v>0.68</v>
      </c>
      <c r="W1125">
        <v>76.5</v>
      </c>
      <c r="X1125">
        <v>10.8</v>
      </c>
    </row>
    <row r="1126" spans="1:24" x14ac:dyDescent="0.25">
      <c r="A1126" t="s">
        <v>126</v>
      </c>
      <c r="B1126" t="s">
        <v>109</v>
      </c>
      <c r="C1126" t="s">
        <v>31</v>
      </c>
      <c r="D1126">
        <v>2010</v>
      </c>
      <c r="E1126">
        <v>73346766</v>
      </c>
      <c r="F1126">
        <v>1240496805446</v>
      </c>
      <c r="G1126">
        <v>211.18</v>
      </c>
      <c r="H1126">
        <v>210.41</v>
      </c>
      <c r="I1126">
        <v>0</v>
      </c>
      <c r="J1126">
        <v>2.92</v>
      </c>
      <c r="K1126">
        <v>55.72</v>
      </c>
      <c r="L1126">
        <v>51.8</v>
      </c>
      <c r="M1126">
        <v>0</v>
      </c>
      <c r="N1126">
        <v>155.46</v>
      </c>
      <c r="O1126">
        <v>0</v>
      </c>
      <c r="P1126">
        <v>1.383</v>
      </c>
      <c r="Q1126">
        <v>26.385000000000002</v>
      </c>
      <c r="R1126">
        <v>73.614999999999995</v>
      </c>
      <c r="S1126">
        <v>26.385000000000002</v>
      </c>
      <c r="T1126">
        <v>525.04999999999995</v>
      </c>
      <c r="U1126">
        <v>1.31</v>
      </c>
      <c r="W1126">
        <v>94.7</v>
      </c>
      <c r="X1126">
        <v>46.1</v>
      </c>
    </row>
    <row r="1127" spans="1:24" x14ac:dyDescent="0.25">
      <c r="A1127" t="s">
        <v>126</v>
      </c>
      <c r="B1127" t="s">
        <v>109</v>
      </c>
      <c r="C1127" t="s">
        <v>31</v>
      </c>
      <c r="D1127">
        <v>2011</v>
      </c>
      <c r="E1127">
        <v>74215203</v>
      </c>
      <c r="F1127">
        <v>1364782716000</v>
      </c>
      <c r="G1127">
        <v>229.39</v>
      </c>
      <c r="H1127">
        <v>230.3</v>
      </c>
      <c r="I1127">
        <v>0</v>
      </c>
      <c r="J1127">
        <v>4.72</v>
      </c>
      <c r="K1127">
        <v>58.09</v>
      </c>
      <c r="L1127">
        <v>52.34</v>
      </c>
      <c r="M1127">
        <v>0</v>
      </c>
      <c r="N1127">
        <v>171.3</v>
      </c>
      <c r="O1127">
        <v>0</v>
      </c>
      <c r="P1127">
        <v>2.0579999999999998</v>
      </c>
      <c r="Q1127">
        <v>25.324000000000002</v>
      </c>
      <c r="R1127">
        <v>74.676000000000002</v>
      </c>
      <c r="S1127">
        <v>25.324000000000002</v>
      </c>
      <c r="T1127">
        <v>541</v>
      </c>
      <c r="U1127">
        <v>2.12</v>
      </c>
      <c r="W1127">
        <v>61.6</v>
      </c>
      <c r="X1127">
        <v>4.3</v>
      </c>
    </row>
    <row r="1128" spans="1:24" x14ac:dyDescent="0.25">
      <c r="A1128" t="s">
        <v>126</v>
      </c>
      <c r="B1128" t="s">
        <v>109</v>
      </c>
      <c r="C1128" t="s">
        <v>31</v>
      </c>
      <c r="D1128">
        <v>2012</v>
      </c>
      <c r="E1128">
        <v>75197196</v>
      </c>
      <c r="F1128">
        <v>1430132002360</v>
      </c>
      <c r="G1128">
        <v>239.49</v>
      </c>
      <c r="H1128">
        <v>242.36</v>
      </c>
      <c r="I1128">
        <v>0</v>
      </c>
      <c r="J1128">
        <v>5.86</v>
      </c>
      <c r="K1128">
        <v>65.209999999999994</v>
      </c>
      <c r="L1128">
        <v>57.86</v>
      </c>
      <c r="M1128">
        <v>0</v>
      </c>
      <c r="N1128">
        <v>174.28</v>
      </c>
      <c r="O1128">
        <v>0</v>
      </c>
      <c r="P1128">
        <v>2.4470000000000001</v>
      </c>
      <c r="Q1128">
        <v>27.228999999999999</v>
      </c>
      <c r="R1128">
        <v>72.771000000000001</v>
      </c>
      <c r="S1128">
        <v>27.228999999999999</v>
      </c>
      <c r="T1128">
        <v>527.79</v>
      </c>
      <c r="U1128">
        <v>2.64</v>
      </c>
      <c r="W1128">
        <v>24.2</v>
      </c>
      <c r="X1128">
        <v>12.3</v>
      </c>
    </row>
    <row r="1129" spans="1:24" x14ac:dyDescent="0.25">
      <c r="A1129" t="s">
        <v>126</v>
      </c>
      <c r="B1129" t="s">
        <v>109</v>
      </c>
      <c r="C1129" t="s">
        <v>31</v>
      </c>
      <c r="D1129">
        <v>2013</v>
      </c>
      <c r="E1129">
        <v>76403032</v>
      </c>
      <c r="F1129">
        <v>1551491738617</v>
      </c>
      <c r="G1129">
        <v>240.15</v>
      </c>
      <c r="H1129">
        <v>246.35</v>
      </c>
      <c r="I1129">
        <v>0</v>
      </c>
      <c r="J1129">
        <v>7.56</v>
      </c>
      <c r="K1129">
        <v>69.22</v>
      </c>
      <c r="L1129">
        <v>59.42</v>
      </c>
      <c r="M1129">
        <v>0</v>
      </c>
      <c r="N1129">
        <v>170.93</v>
      </c>
      <c r="O1129">
        <v>0</v>
      </c>
      <c r="P1129">
        <v>3.1480000000000001</v>
      </c>
      <c r="Q1129">
        <v>28.824000000000002</v>
      </c>
      <c r="R1129">
        <v>71.176000000000002</v>
      </c>
      <c r="S1129">
        <v>28.824000000000002</v>
      </c>
      <c r="T1129">
        <v>509.97</v>
      </c>
      <c r="U1129">
        <v>3.4</v>
      </c>
      <c r="W1129">
        <v>29</v>
      </c>
      <c r="X1129">
        <v>6.1</v>
      </c>
    </row>
    <row r="1130" spans="1:24" x14ac:dyDescent="0.25">
      <c r="A1130" t="s">
        <v>126</v>
      </c>
      <c r="B1130" t="s">
        <v>109</v>
      </c>
      <c r="C1130" t="s">
        <v>31</v>
      </c>
      <c r="D1130">
        <v>2014</v>
      </c>
      <c r="E1130">
        <v>78036154</v>
      </c>
      <c r="F1130">
        <v>1628131977724</v>
      </c>
      <c r="G1130">
        <v>251.95</v>
      </c>
      <c r="H1130">
        <v>257.20999999999998</v>
      </c>
      <c r="I1130">
        <v>0.02</v>
      </c>
      <c r="J1130">
        <v>8.52</v>
      </c>
      <c r="K1130">
        <v>52.62</v>
      </c>
      <c r="L1130">
        <v>40.64</v>
      </c>
      <c r="M1130">
        <v>0</v>
      </c>
      <c r="N1130">
        <v>199.33</v>
      </c>
      <c r="O1130">
        <v>8.0000000000000002E-3</v>
      </c>
      <c r="P1130">
        <v>3.3820000000000001</v>
      </c>
      <c r="Q1130">
        <v>20.885000000000002</v>
      </c>
      <c r="R1130">
        <v>79.114999999999995</v>
      </c>
      <c r="S1130">
        <v>20.885000000000002</v>
      </c>
      <c r="T1130">
        <v>567.26</v>
      </c>
      <c r="U1130">
        <v>3.84</v>
      </c>
      <c r="W1130">
        <v>12.7</v>
      </c>
      <c r="X1130">
        <v>-24</v>
      </c>
    </row>
    <row r="1131" spans="1:24" x14ac:dyDescent="0.25">
      <c r="A1131" t="s">
        <v>126</v>
      </c>
      <c r="B1131" t="s">
        <v>109</v>
      </c>
      <c r="C1131" t="s">
        <v>31</v>
      </c>
      <c r="D1131">
        <v>2015</v>
      </c>
      <c r="E1131">
        <v>80014222</v>
      </c>
      <c r="F1131">
        <v>1727192876718</v>
      </c>
      <c r="G1131">
        <v>261.77</v>
      </c>
      <c r="H1131">
        <v>265.70999999999998</v>
      </c>
      <c r="I1131">
        <v>0.19</v>
      </c>
      <c r="J1131">
        <v>11.65</v>
      </c>
      <c r="K1131">
        <v>83.65</v>
      </c>
      <c r="L1131">
        <v>67.150000000000006</v>
      </c>
      <c r="M1131">
        <v>0</v>
      </c>
      <c r="N1131">
        <v>178.12</v>
      </c>
      <c r="O1131">
        <v>7.2999999999999995E-2</v>
      </c>
      <c r="P1131">
        <v>4.45</v>
      </c>
      <c r="Q1131">
        <v>31.956</v>
      </c>
      <c r="R1131">
        <v>68.043999999999997</v>
      </c>
      <c r="S1131">
        <v>31.956</v>
      </c>
      <c r="T1131">
        <v>504.64</v>
      </c>
      <c r="U1131">
        <v>5.33</v>
      </c>
      <c r="V1131">
        <v>850</v>
      </c>
      <c r="W1131">
        <v>36.700000000000003</v>
      </c>
      <c r="X1131">
        <v>59</v>
      </c>
    </row>
    <row r="1132" spans="1:24" x14ac:dyDescent="0.25">
      <c r="A1132" t="s">
        <v>126</v>
      </c>
      <c r="B1132" t="s">
        <v>109</v>
      </c>
      <c r="C1132" t="s">
        <v>31</v>
      </c>
      <c r="D1132">
        <v>2016</v>
      </c>
      <c r="E1132">
        <v>81652087</v>
      </c>
      <c r="F1132">
        <v>1784590365590</v>
      </c>
      <c r="G1132">
        <v>274.39999999999998</v>
      </c>
      <c r="H1132">
        <v>279.27999999999997</v>
      </c>
      <c r="I1132">
        <v>1.04</v>
      </c>
      <c r="J1132">
        <v>15.52</v>
      </c>
      <c r="K1132">
        <v>90.24</v>
      </c>
      <c r="L1132">
        <v>67.23</v>
      </c>
      <c r="M1132">
        <v>0</v>
      </c>
      <c r="N1132">
        <v>184.16</v>
      </c>
      <c r="O1132">
        <v>0.379</v>
      </c>
      <c r="P1132">
        <v>5.6559999999999997</v>
      </c>
      <c r="Q1132">
        <v>32.886000000000003</v>
      </c>
      <c r="R1132">
        <v>67.114000000000004</v>
      </c>
      <c r="S1132">
        <v>32.886000000000003</v>
      </c>
      <c r="T1132">
        <v>522.78</v>
      </c>
      <c r="U1132">
        <v>7.45</v>
      </c>
      <c r="V1132">
        <v>447.4</v>
      </c>
      <c r="W1132">
        <v>33.200000000000003</v>
      </c>
      <c r="X1132">
        <v>7.9</v>
      </c>
    </row>
    <row r="1133" spans="1:24" x14ac:dyDescent="0.25">
      <c r="A1133" t="s">
        <v>126</v>
      </c>
      <c r="B1133" t="s">
        <v>109</v>
      </c>
      <c r="C1133" t="s">
        <v>31</v>
      </c>
      <c r="D1133">
        <v>2017</v>
      </c>
      <c r="E1133">
        <v>83083667</v>
      </c>
      <c r="F1133">
        <v>1918472081554</v>
      </c>
      <c r="G1133">
        <v>297.29000000000002</v>
      </c>
      <c r="H1133">
        <v>296.70999999999998</v>
      </c>
      <c r="I1133">
        <v>2.89</v>
      </c>
      <c r="J1133">
        <v>17.899999999999999</v>
      </c>
      <c r="K1133">
        <v>87.24</v>
      </c>
      <c r="L1133">
        <v>58.22</v>
      </c>
      <c r="M1133">
        <v>0</v>
      </c>
      <c r="N1133">
        <v>210.05</v>
      </c>
      <c r="O1133">
        <v>0.97199999999999998</v>
      </c>
      <c r="P1133">
        <v>6.0209999999999999</v>
      </c>
      <c r="Q1133">
        <v>29.344999999999999</v>
      </c>
      <c r="R1133">
        <v>70.655000000000001</v>
      </c>
      <c r="S1133">
        <v>29.344999999999999</v>
      </c>
      <c r="T1133">
        <v>534.26</v>
      </c>
      <c r="U1133">
        <v>9.36</v>
      </c>
      <c r="V1133">
        <v>177.9</v>
      </c>
      <c r="W1133">
        <v>15.3</v>
      </c>
      <c r="X1133">
        <v>-3.3</v>
      </c>
    </row>
    <row r="1134" spans="1:24" x14ac:dyDescent="0.25">
      <c r="A1134" t="s">
        <v>126</v>
      </c>
      <c r="B1134" t="s">
        <v>109</v>
      </c>
      <c r="C1134" t="s">
        <v>31</v>
      </c>
      <c r="D1134">
        <v>2018</v>
      </c>
      <c r="E1134">
        <v>84415966</v>
      </c>
      <c r="F1134">
        <v>1975637604336</v>
      </c>
      <c r="G1134">
        <v>300.14999999999998</v>
      </c>
      <c r="H1134">
        <v>299.52</v>
      </c>
      <c r="I1134">
        <v>7.8</v>
      </c>
      <c r="J1134">
        <v>19.86</v>
      </c>
      <c r="K1134">
        <v>96.82</v>
      </c>
      <c r="L1134">
        <v>59.75</v>
      </c>
      <c r="M1134">
        <v>0</v>
      </c>
      <c r="N1134">
        <v>203.33</v>
      </c>
      <c r="O1134">
        <v>2.5990000000000002</v>
      </c>
      <c r="P1134">
        <v>6.617</v>
      </c>
      <c r="Q1134">
        <v>32.256999999999998</v>
      </c>
      <c r="R1134">
        <v>67.742999999999995</v>
      </c>
      <c r="S1134">
        <v>32.256999999999998</v>
      </c>
      <c r="T1134">
        <v>541.83000000000004</v>
      </c>
      <c r="U1134">
        <v>12.45</v>
      </c>
      <c r="V1134">
        <v>169.9</v>
      </c>
      <c r="W1134">
        <v>10.9</v>
      </c>
      <c r="X1134">
        <v>11</v>
      </c>
    </row>
    <row r="1135" spans="1:24" x14ac:dyDescent="0.25">
      <c r="A1135" t="s">
        <v>126</v>
      </c>
      <c r="B1135" t="s">
        <v>109</v>
      </c>
      <c r="C1135" t="s">
        <v>31</v>
      </c>
      <c r="D1135">
        <v>2019</v>
      </c>
      <c r="E1135">
        <v>85357670</v>
      </c>
      <c r="F1135">
        <v>1991116616493</v>
      </c>
      <c r="G1135">
        <v>300.18</v>
      </c>
      <c r="H1135">
        <v>299.60000000000002</v>
      </c>
      <c r="I1135">
        <v>9.57</v>
      </c>
      <c r="J1135">
        <v>21.63</v>
      </c>
      <c r="K1135">
        <v>131.47</v>
      </c>
      <c r="L1135">
        <v>88.64</v>
      </c>
      <c r="M1135">
        <v>0</v>
      </c>
      <c r="N1135">
        <v>168.71</v>
      </c>
      <c r="O1135">
        <v>3.1880000000000002</v>
      </c>
      <c r="P1135">
        <v>7.2060000000000004</v>
      </c>
      <c r="Q1135">
        <v>43.796999999999997</v>
      </c>
      <c r="R1135">
        <v>56.203000000000003</v>
      </c>
      <c r="S1135">
        <v>43.796999999999997</v>
      </c>
      <c r="T1135">
        <v>488.44</v>
      </c>
      <c r="U1135">
        <v>14.04</v>
      </c>
      <c r="V1135">
        <v>22.7</v>
      </c>
      <c r="W1135">
        <v>8.9</v>
      </c>
      <c r="X1135">
        <v>35.799999999999997</v>
      </c>
    </row>
    <row r="1136" spans="1:24" x14ac:dyDescent="0.25">
      <c r="A1136" t="s">
        <v>126</v>
      </c>
      <c r="B1136" t="s">
        <v>109</v>
      </c>
      <c r="C1136" t="s">
        <v>31</v>
      </c>
      <c r="D1136">
        <v>2020</v>
      </c>
      <c r="E1136">
        <v>86091691</v>
      </c>
      <c r="F1136">
        <v>2029749392174</v>
      </c>
      <c r="G1136">
        <v>302</v>
      </c>
      <c r="H1136">
        <v>301.41000000000003</v>
      </c>
      <c r="I1136">
        <v>11.2</v>
      </c>
      <c r="J1136">
        <v>24.61</v>
      </c>
      <c r="K1136">
        <v>127.33</v>
      </c>
      <c r="L1136">
        <v>77.86</v>
      </c>
      <c r="M1136">
        <v>0</v>
      </c>
      <c r="N1136">
        <v>174.67</v>
      </c>
      <c r="O1136">
        <v>3.7090000000000001</v>
      </c>
      <c r="P1136">
        <v>8.1489999999999991</v>
      </c>
      <c r="Q1136">
        <v>42.161999999999999</v>
      </c>
      <c r="R1136">
        <v>57.838000000000001</v>
      </c>
      <c r="S1136">
        <v>42.161999999999999</v>
      </c>
      <c r="T1136">
        <v>482.45</v>
      </c>
      <c r="U1136">
        <v>16.11</v>
      </c>
      <c r="V1136">
        <v>17</v>
      </c>
      <c r="W1136">
        <v>13.8</v>
      </c>
      <c r="X1136">
        <v>-3.1</v>
      </c>
    </row>
    <row r="1137" spans="1:25" x14ac:dyDescent="0.25">
      <c r="A1137" t="s">
        <v>126</v>
      </c>
      <c r="B1137" t="s">
        <v>109</v>
      </c>
      <c r="C1137" t="s">
        <v>31</v>
      </c>
      <c r="D1137">
        <v>2021</v>
      </c>
      <c r="E1137">
        <v>86686254</v>
      </c>
      <c r="F1137">
        <v>2260196231771</v>
      </c>
      <c r="G1137">
        <v>327.88</v>
      </c>
      <c r="H1137">
        <v>326.02999999999997</v>
      </c>
      <c r="I1137">
        <v>13.28</v>
      </c>
      <c r="J1137">
        <v>31.02</v>
      </c>
      <c r="K1137">
        <v>116.07</v>
      </c>
      <c r="L1137">
        <v>55.51</v>
      </c>
      <c r="M1137">
        <v>0</v>
      </c>
      <c r="N1137">
        <v>211.81</v>
      </c>
      <c r="O1137">
        <v>4.05</v>
      </c>
      <c r="P1137">
        <v>9.4610000000000003</v>
      </c>
      <c r="Q1137">
        <v>35.4</v>
      </c>
      <c r="R1137">
        <v>64.599999999999994</v>
      </c>
      <c r="S1137">
        <v>35.4</v>
      </c>
      <c r="T1137">
        <v>500.61</v>
      </c>
      <c r="U1137">
        <v>19.93</v>
      </c>
      <c r="V1137">
        <v>18.600000000000001</v>
      </c>
      <c r="W1137">
        <v>26</v>
      </c>
      <c r="X1137">
        <v>-8.8000000000000007</v>
      </c>
      <c r="Y1137" t="s">
        <v>127</v>
      </c>
    </row>
    <row r="1138" spans="1:25" x14ac:dyDescent="0.25">
      <c r="A1138" t="s">
        <v>126</v>
      </c>
      <c r="B1138" t="s">
        <v>109</v>
      </c>
      <c r="C1138" t="s">
        <v>31</v>
      </c>
      <c r="D1138">
        <v>2022</v>
      </c>
      <c r="E1138">
        <v>87058469</v>
      </c>
      <c r="F1138">
        <v>2385996374127</v>
      </c>
      <c r="G1138">
        <v>320.56</v>
      </c>
      <c r="H1138">
        <v>323.29000000000002</v>
      </c>
      <c r="I1138">
        <v>15.16</v>
      </c>
      <c r="J1138">
        <v>34.69</v>
      </c>
      <c r="K1138">
        <v>134.35</v>
      </c>
      <c r="L1138">
        <v>66.66</v>
      </c>
      <c r="M1138">
        <v>0</v>
      </c>
      <c r="N1138">
        <v>186.21</v>
      </c>
      <c r="O1138">
        <v>4.7290000000000001</v>
      </c>
      <c r="P1138">
        <v>10.821999999999999</v>
      </c>
      <c r="Q1138">
        <v>41.911000000000001</v>
      </c>
      <c r="R1138">
        <v>58.088999999999999</v>
      </c>
      <c r="S1138">
        <v>41.911000000000001</v>
      </c>
      <c r="T1138">
        <v>487.93</v>
      </c>
      <c r="U1138">
        <v>22.43</v>
      </c>
      <c r="V1138">
        <v>14.2</v>
      </c>
      <c r="W1138">
        <v>11.8</v>
      </c>
      <c r="X1138">
        <v>15.7</v>
      </c>
    </row>
    <row r="1139" spans="1:25" x14ac:dyDescent="0.25">
      <c r="A1139" t="s">
        <v>126</v>
      </c>
      <c r="B1139" t="s">
        <v>109</v>
      </c>
      <c r="C1139" t="s">
        <v>31</v>
      </c>
      <c r="D1139">
        <v>2023</v>
      </c>
      <c r="E1139">
        <v>87270502</v>
      </c>
      <c r="G1139">
        <v>319.79000000000002</v>
      </c>
      <c r="H1139">
        <v>323.81</v>
      </c>
      <c r="I1139">
        <v>18.399999999999999</v>
      </c>
      <c r="J1139">
        <v>33.880000000000003</v>
      </c>
      <c r="K1139">
        <v>134.34</v>
      </c>
      <c r="L1139">
        <v>63.72</v>
      </c>
      <c r="M1139">
        <v>0</v>
      </c>
      <c r="N1139">
        <v>185.45</v>
      </c>
      <c r="O1139">
        <v>5.7539999999999996</v>
      </c>
      <c r="P1139">
        <v>10.593999999999999</v>
      </c>
      <c r="Q1139">
        <v>42.009</v>
      </c>
      <c r="R1139">
        <v>57.991</v>
      </c>
      <c r="S1139">
        <v>42.009</v>
      </c>
      <c r="T1139">
        <v>493.73</v>
      </c>
      <c r="U1139">
        <v>23.53</v>
      </c>
      <c r="V1139">
        <v>21.4</v>
      </c>
      <c r="W1139">
        <v>-2.2999999999999998</v>
      </c>
      <c r="X1139">
        <v>0</v>
      </c>
    </row>
    <row r="1140" spans="1:25" x14ac:dyDescent="0.25">
      <c r="A1140" t="s">
        <v>126</v>
      </c>
      <c r="B1140" t="s">
        <v>109</v>
      </c>
      <c r="C1140" t="s">
        <v>31</v>
      </c>
      <c r="D1140">
        <v>2024</v>
      </c>
      <c r="E1140">
        <v>87473800</v>
      </c>
      <c r="G1140">
        <v>341.23</v>
      </c>
      <c r="H1140">
        <v>340.24</v>
      </c>
      <c r="I1140">
        <v>25.67</v>
      </c>
      <c r="J1140">
        <v>36.53</v>
      </c>
      <c r="K1140">
        <v>155.65</v>
      </c>
      <c r="L1140">
        <v>74.569999999999993</v>
      </c>
      <c r="M1140">
        <v>0</v>
      </c>
      <c r="N1140">
        <v>185.58</v>
      </c>
      <c r="O1140">
        <v>7.5229999999999997</v>
      </c>
      <c r="P1140">
        <v>10.705</v>
      </c>
      <c r="Q1140">
        <v>45.613999999999997</v>
      </c>
      <c r="R1140">
        <v>54.386000000000003</v>
      </c>
      <c r="S1140">
        <v>45.613999999999997</v>
      </c>
      <c r="T1140">
        <v>469.74</v>
      </c>
      <c r="U1140">
        <v>27.99</v>
      </c>
      <c r="V1140">
        <v>39.5</v>
      </c>
      <c r="W1140">
        <v>7.8</v>
      </c>
      <c r="X1140">
        <v>15.9</v>
      </c>
    </row>
    <row r="1141" spans="1:25" x14ac:dyDescent="0.25">
      <c r="A1141" t="s">
        <v>126</v>
      </c>
      <c r="B1141" t="s">
        <v>109</v>
      </c>
      <c r="C1141" t="s">
        <v>31</v>
      </c>
      <c r="D1141">
        <v>2025</v>
      </c>
      <c r="E1141">
        <v>87685427</v>
      </c>
      <c r="G1141">
        <v>353.86</v>
      </c>
      <c r="H1141">
        <v>351.93</v>
      </c>
      <c r="I1141">
        <v>37.25</v>
      </c>
      <c r="J1141">
        <v>39.42</v>
      </c>
      <c r="K1141">
        <v>153.07</v>
      </c>
      <c r="L1141">
        <v>57.27</v>
      </c>
      <c r="M1141">
        <v>0</v>
      </c>
      <c r="N1141">
        <v>200.79</v>
      </c>
      <c r="O1141">
        <v>10.526999999999999</v>
      </c>
      <c r="P1141">
        <v>11.14</v>
      </c>
      <c r="Q1141">
        <v>43.256999999999998</v>
      </c>
      <c r="R1141">
        <v>56.743000000000002</v>
      </c>
      <c r="S1141">
        <v>43.256999999999998</v>
      </c>
      <c r="T1141">
        <v>474.74</v>
      </c>
      <c r="U1141">
        <v>34.5</v>
      </c>
      <c r="V1141">
        <v>45.1</v>
      </c>
      <c r="W1141">
        <v>7.9</v>
      </c>
      <c r="X1141">
        <v>-1.7</v>
      </c>
    </row>
    <row r="1142" spans="1:25" x14ac:dyDescent="0.25">
      <c r="A1142" t="s">
        <v>128</v>
      </c>
      <c r="B1142" t="s">
        <v>78</v>
      </c>
      <c r="C1142" t="s">
        <v>35</v>
      </c>
      <c r="D1142">
        <v>2000</v>
      </c>
      <c r="E1142">
        <v>3493583</v>
      </c>
      <c r="F1142">
        <v>160530689682</v>
      </c>
      <c r="G1142">
        <v>39.94</v>
      </c>
      <c r="H1142">
        <v>39.94</v>
      </c>
      <c r="I1142">
        <v>0</v>
      </c>
      <c r="J1142">
        <v>0</v>
      </c>
      <c r="K1142">
        <v>0</v>
      </c>
      <c r="M1142">
        <v>0</v>
      </c>
      <c r="N1142">
        <v>39.94</v>
      </c>
      <c r="O1142">
        <v>0</v>
      </c>
      <c r="P1142">
        <v>0</v>
      </c>
      <c r="Q1142">
        <v>0</v>
      </c>
      <c r="R1142">
        <v>100</v>
      </c>
      <c r="S1142">
        <v>0</v>
      </c>
      <c r="T1142">
        <v>676.77</v>
      </c>
      <c r="U1142">
        <v>0</v>
      </c>
    </row>
    <row r="1143" spans="1:25" x14ac:dyDescent="0.25">
      <c r="A1143" t="s">
        <v>128</v>
      </c>
      <c r="B1143" t="s">
        <v>78</v>
      </c>
      <c r="C1143" t="s">
        <v>35</v>
      </c>
      <c r="D1143">
        <v>2001</v>
      </c>
      <c r="E1143">
        <v>3723596</v>
      </c>
      <c r="F1143">
        <v>177271829556</v>
      </c>
      <c r="G1143">
        <v>43.17</v>
      </c>
      <c r="H1143">
        <v>43.17</v>
      </c>
      <c r="I1143">
        <v>0</v>
      </c>
      <c r="J1143">
        <v>0</v>
      </c>
      <c r="K1143">
        <v>0</v>
      </c>
      <c r="M1143">
        <v>0</v>
      </c>
      <c r="N1143">
        <v>43.17</v>
      </c>
      <c r="O1143">
        <v>0</v>
      </c>
      <c r="P1143">
        <v>0</v>
      </c>
      <c r="Q1143">
        <v>0</v>
      </c>
      <c r="R1143">
        <v>100</v>
      </c>
      <c r="S1143">
        <v>0</v>
      </c>
      <c r="T1143">
        <v>676.63</v>
      </c>
      <c r="U1143">
        <v>0</v>
      </c>
    </row>
    <row r="1144" spans="1:25" x14ac:dyDescent="0.25">
      <c r="A1144" t="s">
        <v>128</v>
      </c>
      <c r="B1144" t="s">
        <v>78</v>
      </c>
      <c r="C1144" t="s">
        <v>35</v>
      </c>
      <c r="D1144">
        <v>2002</v>
      </c>
      <c r="E1144">
        <v>3956829</v>
      </c>
      <c r="F1144">
        <v>195394872658</v>
      </c>
      <c r="G1144">
        <v>46.85</v>
      </c>
      <c r="H1144">
        <v>46.85</v>
      </c>
      <c r="I1144">
        <v>0</v>
      </c>
      <c r="J1144">
        <v>0</v>
      </c>
      <c r="K1144">
        <v>0</v>
      </c>
      <c r="M1144">
        <v>0</v>
      </c>
      <c r="N1144">
        <v>46.85</v>
      </c>
      <c r="O1144">
        <v>0</v>
      </c>
      <c r="P1144">
        <v>0</v>
      </c>
      <c r="Q1144">
        <v>0</v>
      </c>
      <c r="R1144">
        <v>100</v>
      </c>
      <c r="S1144">
        <v>0</v>
      </c>
      <c r="T1144">
        <v>676.84</v>
      </c>
      <c r="U1144">
        <v>0</v>
      </c>
    </row>
    <row r="1145" spans="1:25" x14ac:dyDescent="0.25">
      <c r="A1145" t="s">
        <v>128</v>
      </c>
      <c r="B1145" t="s">
        <v>78</v>
      </c>
      <c r="C1145" t="s">
        <v>35</v>
      </c>
      <c r="D1145">
        <v>2003</v>
      </c>
      <c r="E1145">
        <v>4192465</v>
      </c>
      <c r="F1145">
        <v>224547226340</v>
      </c>
      <c r="G1145">
        <v>49.45</v>
      </c>
      <c r="H1145">
        <v>49.45</v>
      </c>
      <c r="I1145">
        <v>0</v>
      </c>
      <c r="J1145">
        <v>0</v>
      </c>
      <c r="K1145">
        <v>0</v>
      </c>
      <c r="M1145">
        <v>0</v>
      </c>
      <c r="N1145">
        <v>49.45</v>
      </c>
      <c r="O1145">
        <v>0</v>
      </c>
      <c r="P1145">
        <v>0</v>
      </c>
      <c r="Q1145">
        <v>0</v>
      </c>
      <c r="R1145">
        <v>100</v>
      </c>
      <c r="S1145">
        <v>0</v>
      </c>
      <c r="T1145">
        <v>676.64</v>
      </c>
      <c r="U1145">
        <v>0</v>
      </c>
    </row>
    <row r="1146" spans="1:25" x14ac:dyDescent="0.25">
      <c r="A1146" t="s">
        <v>128</v>
      </c>
      <c r="B1146" t="s">
        <v>78</v>
      </c>
      <c r="C1146" t="s">
        <v>35</v>
      </c>
      <c r="D1146">
        <v>2004</v>
      </c>
      <c r="E1146">
        <v>4428964</v>
      </c>
      <c r="F1146">
        <v>252047957126</v>
      </c>
      <c r="G1146">
        <v>52.41</v>
      </c>
      <c r="H1146">
        <v>52.41</v>
      </c>
      <c r="I1146">
        <v>0</v>
      </c>
      <c r="J1146">
        <v>0</v>
      </c>
      <c r="K1146">
        <v>0</v>
      </c>
      <c r="M1146">
        <v>0</v>
      </c>
      <c r="N1146">
        <v>52.41</v>
      </c>
      <c r="O1146">
        <v>0</v>
      </c>
      <c r="P1146">
        <v>0</v>
      </c>
      <c r="Q1146">
        <v>0</v>
      </c>
      <c r="R1146">
        <v>100</v>
      </c>
      <c r="S1146">
        <v>0</v>
      </c>
      <c r="T1146">
        <v>676.78</v>
      </c>
      <c r="U1146">
        <v>0</v>
      </c>
    </row>
    <row r="1147" spans="1:25" x14ac:dyDescent="0.25">
      <c r="A1147" t="s">
        <v>128</v>
      </c>
      <c r="B1147" t="s">
        <v>78</v>
      </c>
      <c r="C1147" t="s">
        <v>35</v>
      </c>
      <c r="D1147">
        <v>2005</v>
      </c>
      <c r="E1147">
        <v>4664797</v>
      </c>
      <c r="F1147">
        <v>262413275144</v>
      </c>
      <c r="G1147">
        <v>60.7</v>
      </c>
      <c r="H1147">
        <v>60.7</v>
      </c>
      <c r="I1147">
        <v>0</v>
      </c>
      <c r="J1147">
        <v>0</v>
      </c>
      <c r="K1147">
        <v>0</v>
      </c>
      <c r="M1147">
        <v>0</v>
      </c>
      <c r="N1147">
        <v>60.7</v>
      </c>
      <c r="O1147">
        <v>0</v>
      </c>
      <c r="P1147">
        <v>0</v>
      </c>
      <c r="Q1147">
        <v>0</v>
      </c>
      <c r="R1147">
        <v>100</v>
      </c>
      <c r="S1147">
        <v>0</v>
      </c>
      <c r="T1147">
        <v>676.77</v>
      </c>
      <c r="U1147">
        <v>0</v>
      </c>
    </row>
    <row r="1148" spans="1:25" x14ac:dyDescent="0.25">
      <c r="A1148" t="s">
        <v>128</v>
      </c>
      <c r="B1148" t="s">
        <v>78</v>
      </c>
      <c r="C1148" t="s">
        <v>35</v>
      </c>
      <c r="D1148">
        <v>2006</v>
      </c>
      <c r="E1148">
        <v>5009106</v>
      </c>
      <c r="F1148">
        <v>307378573765</v>
      </c>
      <c r="G1148">
        <v>62.44</v>
      </c>
      <c r="H1148">
        <v>62.44</v>
      </c>
      <c r="I1148">
        <v>0</v>
      </c>
      <c r="J1148">
        <v>0</v>
      </c>
      <c r="K1148">
        <v>0</v>
      </c>
      <c r="M1148">
        <v>0</v>
      </c>
      <c r="N1148">
        <v>62.44</v>
      </c>
      <c r="O1148">
        <v>0</v>
      </c>
      <c r="P1148">
        <v>0</v>
      </c>
      <c r="Q1148">
        <v>0</v>
      </c>
      <c r="R1148">
        <v>100</v>
      </c>
      <c r="S1148">
        <v>0</v>
      </c>
      <c r="T1148">
        <v>676.81</v>
      </c>
      <c r="U1148">
        <v>0</v>
      </c>
    </row>
    <row r="1149" spans="1:25" x14ac:dyDescent="0.25">
      <c r="A1149" t="s">
        <v>128</v>
      </c>
      <c r="B1149" t="s">
        <v>78</v>
      </c>
      <c r="C1149" t="s">
        <v>35</v>
      </c>
      <c r="D1149">
        <v>2007</v>
      </c>
      <c r="E1149">
        <v>5624640</v>
      </c>
      <c r="F1149">
        <v>367816178792</v>
      </c>
      <c r="G1149">
        <v>78.760000000000005</v>
      </c>
      <c r="H1149">
        <v>78.760000000000005</v>
      </c>
      <c r="I1149">
        <v>0</v>
      </c>
      <c r="J1149">
        <v>0</v>
      </c>
      <c r="K1149">
        <v>0</v>
      </c>
      <c r="M1149">
        <v>0</v>
      </c>
      <c r="N1149">
        <v>78.760000000000005</v>
      </c>
      <c r="O1149">
        <v>0</v>
      </c>
      <c r="P1149">
        <v>0</v>
      </c>
      <c r="Q1149">
        <v>0</v>
      </c>
      <c r="R1149">
        <v>100</v>
      </c>
      <c r="S1149">
        <v>0</v>
      </c>
      <c r="T1149">
        <v>676.74</v>
      </c>
      <c r="U1149">
        <v>0</v>
      </c>
    </row>
    <row r="1150" spans="1:25" x14ac:dyDescent="0.25">
      <c r="A1150" t="s">
        <v>128</v>
      </c>
      <c r="B1150" t="s">
        <v>78</v>
      </c>
      <c r="C1150" t="s">
        <v>35</v>
      </c>
      <c r="D1150">
        <v>2008</v>
      </c>
      <c r="E1150">
        <v>6302669</v>
      </c>
      <c r="F1150">
        <v>464692468324</v>
      </c>
      <c r="G1150">
        <v>80.459999999999994</v>
      </c>
      <c r="H1150">
        <v>80.459999999999994</v>
      </c>
      <c r="I1150">
        <v>0</v>
      </c>
      <c r="J1150">
        <v>0</v>
      </c>
      <c r="K1150">
        <v>0</v>
      </c>
      <c r="M1150">
        <v>0</v>
      </c>
      <c r="N1150">
        <v>80.459999999999994</v>
      </c>
      <c r="O1150">
        <v>0</v>
      </c>
      <c r="P1150">
        <v>0</v>
      </c>
      <c r="Q1150">
        <v>0</v>
      </c>
      <c r="R1150">
        <v>100</v>
      </c>
      <c r="S1150">
        <v>0</v>
      </c>
      <c r="T1150">
        <v>676.73</v>
      </c>
      <c r="U1150">
        <v>0</v>
      </c>
    </row>
    <row r="1151" spans="1:25" x14ac:dyDescent="0.25">
      <c r="A1151" t="s">
        <v>128</v>
      </c>
      <c r="B1151" t="s">
        <v>78</v>
      </c>
      <c r="C1151" t="s">
        <v>35</v>
      </c>
      <c r="D1151">
        <v>2009</v>
      </c>
      <c r="E1151">
        <v>6707063</v>
      </c>
      <c r="F1151">
        <v>480551549339</v>
      </c>
      <c r="G1151">
        <v>85.7</v>
      </c>
      <c r="H1151">
        <v>85.7</v>
      </c>
      <c r="I1151">
        <v>0.01</v>
      </c>
      <c r="J1151">
        <v>0</v>
      </c>
      <c r="K1151">
        <v>0.01</v>
      </c>
      <c r="M1151">
        <v>0</v>
      </c>
      <c r="N1151">
        <v>85.69</v>
      </c>
      <c r="O1151">
        <v>1.2E-2</v>
      </c>
      <c r="P1151">
        <v>0</v>
      </c>
      <c r="Q1151">
        <v>1.2E-2</v>
      </c>
      <c r="R1151">
        <v>99.988</v>
      </c>
      <c r="S1151">
        <v>1.2E-2</v>
      </c>
      <c r="T1151">
        <v>676.66</v>
      </c>
      <c r="U1151">
        <v>0</v>
      </c>
    </row>
    <row r="1152" spans="1:25" x14ac:dyDescent="0.25">
      <c r="A1152" t="s">
        <v>128</v>
      </c>
      <c r="B1152" t="s">
        <v>78</v>
      </c>
      <c r="C1152" t="s">
        <v>35</v>
      </c>
      <c r="D1152">
        <v>2010</v>
      </c>
      <c r="E1152">
        <v>6938372</v>
      </c>
      <c r="F1152">
        <v>490048925162</v>
      </c>
      <c r="G1152">
        <v>93.95</v>
      </c>
      <c r="H1152">
        <v>93.95</v>
      </c>
      <c r="I1152">
        <v>0.02</v>
      </c>
      <c r="J1152">
        <v>0</v>
      </c>
      <c r="K1152">
        <v>0.02</v>
      </c>
      <c r="M1152">
        <v>0</v>
      </c>
      <c r="N1152">
        <v>93.93</v>
      </c>
      <c r="O1152">
        <v>2.1000000000000001E-2</v>
      </c>
      <c r="P1152">
        <v>0</v>
      </c>
      <c r="Q1152">
        <v>2.1000000000000001E-2</v>
      </c>
      <c r="R1152">
        <v>99.978999999999999</v>
      </c>
      <c r="S1152">
        <v>2.1000000000000001E-2</v>
      </c>
      <c r="T1152">
        <v>676.64</v>
      </c>
      <c r="U1152">
        <v>0.01</v>
      </c>
      <c r="V1152">
        <v>100</v>
      </c>
      <c r="X1152">
        <v>100</v>
      </c>
    </row>
    <row r="1153" spans="1:25" x14ac:dyDescent="0.25">
      <c r="A1153" t="s">
        <v>128</v>
      </c>
      <c r="B1153" t="s">
        <v>78</v>
      </c>
      <c r="C1153" t="s">
        <v>35</v>
      </c>
      <c r="D1153">
        <v>2011</v>
      </c>
      <c r="E1153">
        <v>7199436</v>
      </c>
      <c r="F1153">
        <v>551070287560</v>
      </c>
      <c r="G1153">
        <v>99.13</v>
      </c>
      <c r="H1153">
        <v>99.11</v>
      </c>
      <c r="I1153">
        <v>0.02</v>
      </c>
      <c r="J1153">
        <v>0</v>
      </c>
      <c r="K1153">
        <v>0.02</v>
      </c>
      <c r="M1153">
        <v>0</v>
      </c>
      <c r="N1153">
        <v>99.11</v>
      </c>
      <c r="O1153">
        <v>0.02</v>
      </c>
      <c r="P1153">
        <v>0</v>
      </c>
      <c r="Q1153">
        <v>0.02</v>
      </c>
      <c r="R1153">
        <v>99.98</v>
      </c>
      <c r="S1153">
        <v>0.02</v>
      </c>
      <c r="T1153">
        <v>676.59</v>
      </c>
      <c r="U1153">
        <v>0.01</v>
      </c>
      <c r="V1153">
        <v>0</v>
      </c>
      <c r="X1153">
        <v>0</v>
      </c>
    </row>
    <row r="1154" spans="1:25" x14ac:dyDescent="0.25">
      <c r="A1154" t="s">
        <v>128</v>
      </c>
      <c r="B1154" t="s">
        <v>78</v>
      </c>
      <c r="C1154" t="s">
        <v>35</v>
      </c>
      <c r="D1154">
        <v>2012</v>
      </c>
      <c r="E1154">
        <v>7497122</v>
      </c>
      <c r="F1154">
        <v>577394943300</v>
      </c>
      <c r="G1154">
        <v>106.21</v>
      </c>
      <c r="H1154">
        <v>106.18</v>
      </c>
      <c r="I1154">
        <v>0.02</v>
      </c>
      <c r="J1154">
        <v>0</v>
      </c>
      <c r="K1154">
        <v>0.02</v>
      </c>
      <c r="M1154">
        <v>0</v>
      </c>
      <c r="N1154">
        <v>106.19</v>
      </c>
      <c r="O1154">
        <v>1.9E-2</v>
      </c>
      <c r="P1154">
        <v>0</v>
      </c>
      <c r="Q1154">
        <v>1.9E-2</v>
      </c>
      <c r="R1154">
        <v>99.980999999999995</v>
      </c>
      <c r="S1154">
        <v>1.9E-2</v>
      </c>
      <c r="T1154">
        <v>676.58</v>
      </c>
      <c r="U1154">
        <v>0.01</v>
      </c>
      <c r="V1154">
        <v>0</v>
      </c>
      <c r="X1154">
        <v>0</v>
      </c>
    </row>
    <row r="1155" spans="1:25" x14ac:dyDescent="0.25">
      <c r="A1155" t="s">
        <v>128</v>
      </c>
      <c r="B1155" t="s">
        <v>78</v>
      </c>
      <c r="C1155" t="s">
        <v>35</v>
      </c>
      <c r="D1155">
        <v>2013</v>
      </c>
      <c r="E1155">
        <v>7831851</v>
      </c>
      <c r="F1155">
        <v>606587973942</v>
      </c>
      <c r="G1155">
        <v>109.99</v>
      </c>
      <c r="H1155">
        <v>109.97</v>
      </c>
      <c r="I1155">
        <v>0.09</v>
      </c>
      <c r="J1155">
        <v>0</v>
      </c>
      <c r="K1155">
        <v>0.09</v>
      </c>
      <c r="M1155">
        <v>0</v>
      </c>
      <c r="N1155">
        <v>109.9</v>
      </c>
      <c r="O1155">
        <v>8.2000000000000003E-2</v>
      </c>
      <c r="P1155">
        <v>0</v>
      </c>
      <c r="Q1155">
        <v>8.2000000000000003E-2</v>
      </c>
      <c r="R1155">
        <v>99.918000000000006</v>
      </c>
      <c r="S1155">
        <v>8.2000000000000003E-2</v>
      </c>
      <c r="T1155">
        <v>676.15</v>
      </c>
      <c r="U1155">
        <v>0.04</v>
      </c>
      <c r="V1155">
        <v>350</v>
      </c>
      <c r="X1155">
        <v>350</v>
      </c>
    </row>
    <row r="1156" spans="1:25" x14ac:dyDescent="0.25">
      <c r="A1156" t="s">
        <v>128</v>
      </c>
      <c r="B1156" t="s">
        <v>78</v>
      </c>
      <c r="C1156" t="s">
        <v>35</v>
      </c>
      <c r="D1156">
        <v>2014</v>
      </c>
      <c r="E1156">
        <v>8236880</v>
      </c>
      <c r="F1156">
        <v>631858461256</v>
      </c>
      <c r="G1156">
        <v>116.54</v>
      </c>
      <c r="H1156">
        <v>116.51</v>
      </c>
      <c r="I1156">
        <v>0.31</v>
      </c>
      <c r="J1156">
        <v>0</v>
      </c>
      <c r="K1156">
        <v>0.31</v>
      </c>
      <c r="M1156">
        <v>0</v>
      </c>
      <c r="N1156">
        <v>116.23</v>
      </c>
      <c r="O1156">
        <v>0.26600000000000001</v>
      </c>
      <c r="P1156">
        <v>0</v>
      </c>
      <c r="Q1156">
        <v>0.26600000000000001</v>
      </c>
      <c r="R1156">
        <v>99.733999999999995</v>
      </c>
      <c r="S1156">
        <v>0.26600000000000001</v>
      </c>
      <c r="T1156">
        <v>675.05</v>
      </c>
      <c r="U1156">
        <v>0.14000000000000001</v>
      </c>
      <c r="V1156">
        <v>244.4</v>
      </c>
      <c r="X1156">
        <v>244.4</v>
      </c>
    </row>
    <row r="1157" spans="1:25" x14ac:dyDescent="0.25">
      <c r="A1157" t="s">
        <v>128</v>
      </c>
      <c r="B1157" t="s">
        <v>78</v>
      </c>
      <c r="C1157" t="s">
        <v>35</v>
      </c>
      <c r="D1157">
        <v>2015</v>
      </c>
      <c r="E1157">
        <v>8674633</v>
      </c>
      <c r="F1157">
        <v>674742705535</v>
      </c>
      <c r="G1157">
        <v>127.38</v>
      </c>
      <c r="H1157">
        <v>127.37</v>
      </c>
      <c r="I1157">
        <v>0.3</v>
      </c>
      <c r="J1157">
        <v>0</v>
      </c>
      <c r="K1157">
        <v>0.3</v>
      </c>
      <c r="M1157">
        <v>0</v>
      </c>
      <c r="N1157">
        <v>127.08</v>
      </c>
      <c r="O1157">
        <v>0.23599999999999999</v>
      </c>
      <c r="P1157">
        <v>0</v>
      </c>
      <c r="Q1157">
        <v>0.23599999999999999</v>
      </c>
      <c r="R1157">
        <v>99.763999999999996</v>
      </c>
      <c r="S1157">
        <v>0.23599999999999999</v>
      </c>
      <c r="T1157">
        <v>675.22</v>
      </c>
      <c r="U1157">
        <v>0.14000000000000001</v>
      </c>
      <c r="V1157">
        <v>-3.2</v>
      </c>
      <c r="X1157">
        <v>-3.2</v>
      </c>
    </row>
    <row r="1158" spans="1:25" x14ac:dyDescent="0.25">
      <c r="A1158" t="s">
        <v>128</v>
      </c>
      <c r="B1158" t="s">
        <v>78</v>
      </c>
      <c r="C1158" t="s">
        <v>35</v>
      </c>
      <c r="D1158">
        <v>2016</v>
      </c>
      <c r="E1158">
        <v>9030873</v>
      </c>
      <c r="F1158">
        <v>712265114847</v>
      </c>
      <c r="G1158">
        <v>129.61000000000001</v>
      </c>
      <c r="H1158">
        <v>130.24</v>
      </c>
      <c r="I1158">
        <v>0.32</v>
      </c>
      <c r="J1158">
        <v>0</v>
      </c>
      <c r="K1158">
        <v>0.32</v>
      </c>
      <c r="M1158">
        <v>0</v>
      </c>
      <c r="N1158">
        <v>129.29</v>
      </c>
      <c r="O1158">
        <v>0.247</v>
      </c>
      <c r="P1158">
        <v>0</v>
      </c>
      <c r="Q1158">
        <v>0.247</v>
      </c>
      <c r="R1158">
        <v>99.753</v>
      </c>
      <c r="S1158">
        <v>0.247</v>
      </c>
      <c r="T1158">
        <v>675.26</v>
      </c>
      <c r="U1158">
        <v>0.14000000000000001</v>
      </c>
      <c r="V1158">
        <v>6.7</v>
      </c>
      <c r="X1158">
        <v>6.7</v>
      </c>
    </row>
    <row r="1159" spans="1:25" x14ac:dyDescent="0.25">
      <c r="A1159" t="s">
        <v>128</v>
      </c>
      <c r="B1159" t="s">
        <v>78</v>
      </c>
      <c r="C1159" t="s">
        <v>35</v>
      </c>
      <c r="D1159">
        <v>2017</v>
      </c>
      <c r="E1159">
        <v>9234330</v>
      </c>
      <c r="F1159">
        <v>717500233045</v>
      </c>
      <c r="G1159">
        <v>134.57</v>
      </c>
      <c r="H1159">
        <v>134.47</v>
      </c>
      <c r="I1159">
        <v>0.75</v>
      </c>
      <c r="J1159">
        <v>0</v>
      </c>
      <c r="K1159">
        <v>0.75</v>
      </c>
      <c r="M1159">
        <v>0</v>
      </c>
      <c r="N1159">
        <v>133.82</v>
      </c>
      <c r="O1159">
        <v>0.55700000000000005</v>
      </c>
      <c r="P1159">
        <v>0</v>
      </c>
      <c r="Q1159">
        <v>0.55700000000000005</v>
      </c>
      <c r="R1159">
        <v>99.442999999999998</v>
      </c>
      <c r="S1159">
        <v>0.55700000000000005</v>
      </c>
      <c r="T1159">
        <v>673.26</v>
      </c>
      <c r="U1159">
        <v>0.34</v>
      </c>
      <c r="V1159">
        <v>134.4</v>
      </c>
      <c r="X1159">
        <v>134.4</v>
      </c>
    </row>
    <row r="1160" spans="1:25" x14ac:dyDescent="0.25">
      <c r="A1160" t="s">
        <v>128</v>
      </c>
      <c r="B1160" t="s">
        <v>78</v>
      </c>
      <c r="C1160" t="s">
        <v>35</v>
      </c>
      <c r="D1160">
        <v>2018</v>
      </c>
      <c r="E1160">
        <v>9346870</v>
      </c>
      <c r="F1160">
        <v>726928170282</v>
      </c>
      <c r="G1160">
        <v>136.01</v>
      </c>
      <c r="H1160">
        <v>135.97999999999999</v>
      </c>
      <c r="I1160">
        <v>1.2</v>
      </c>
      <c r="J1160">
        <v>0</v>
      </c>
      <c r="K1160">
        <v>1.2</v>
      </c>
      <c r="M1160">
        <v>0</v>
      </c>
      <c r="N1160">
        <v>134.81</v>
      </c>
      <c r="O1160">
        <v>0.88200000000000001</v>
      </c>
      <c r="P1160">
        <v>0</v>
      </c>
      <c r="Q1160">
        <v>0.88200000000000001</v>
      </c>
      <c r="R1160">
        <v>99.117999999999995</v>
      </c>
      <c r="S1160">
        <v>0.88200000000000001</v>
      </c>
      <c r="T1160">
        <v>671.2</v>
      </c>
      <c r="U1160">
        <v>0.54</v>
      </c>
      <c r="V1160">
        <v>60</v>
      </c>
      <c r="X1160">
        <v>60</v>
      </c>
    </row>
    <row r="1161" spans="1:25" x14ac:dyDescent="0.25">
      <c r="A1161" t="s">
        <v>128</v>
      </c>
      <c r="B1161" t="s">
        <v>78</v>
      </c>
      <c r="C1161" t="s">
        <v>35</v>
      </c>
      <c r="D1161">
        <v>2019</v>
      </c>
      <c r="E1161">
        <v>9377855</v>
      </c>
      <c r="F1161">
        <v>734982504070</v>
      </c>
      <c r="G1161">
        <v>138.44999999999999</v>
      </c>
      <c r="H1161">
        <v>138.44</v>
      </c>
      <c r="I1161">
        <v>3.66</v>
      </c>
      <c r="J1161">
        <v>0</v>
      </c>
      <c r="K1161">
        <v>3.66</v>
      </c>
      <c r="M1161">
        <v>0</v>
      </c>
      <c r="N1161">
        <v>134.79</v>
      </c>
      <c r="O1161">
        <v>2.6440000000000001</v>
      </c>
      <c r="P1161">
        <v>0</v>
      </c>
      <c r="Q1161">
        <v>2.6440000000000001</v>
      </c>
      <c r="R1161">
        <v>97.355999999999995</v>
      </c>
      <c r="S1161">
        <v>2.6440000000000001</v>
      </c>
      <c r="T1161">
        <v>660.09</v>
      </c>
      <c r="U1161">
        <v>1.65</v>
      </c>
      <c r="V1161">
        <v>205</v>
      </c>
      <c r="X1161">
        <v>205</v>
      </c>
    </row>
    <row r="1162" spans="1:25" x14ac:dyDescent="0.25">
      <c r="A1162" t="s">
        <v>128</v>
      </c>
      <c r="B1162" t="s">
        <v>78</v>
      </c>
      <c r="C1162" t="s">
        <v>35</v>
      </c>
      <c r="D1162">
        <v>2020</v>
      </c>
      <c r="E1162">
        <v>9448529</v>
      </c>
      <c r="F1162">
        <v>698549476819</v>
      </c>
      <c r="G1162">
        <v>137.31</v>
      </c>
      <c r="H1162">
        <v>137.28</v>
      </c>
      <c r="I1162">
        <v>5.18</v>
      </c>
      <c r="J1162">
        <v>0</v>
      </c>
      <c r="K1162">
        <v>5.18</v>
      </c>
      <c r="M1162">
        <v>1.63</v>
      </c>
      <c r="N1162">
        <v>130.5</v>
      </c>
      <c r="O1162">
        <v>3.7719999999999998</v>
      </c>
      <c r="P1162">
        <v>0</v>
      </c>
      <c r="Q1162">
        <v>3.7719999999999998</v>
      </c>
      <c r="R1162">
        <v>95.04</v>
      </c>
      <c r="S1162">
        <v>4.96</v>
      </c>
      <c r="T1162">
        <v>645.69000000000005</v>
      </c>
      <c r="U1162">
        <v>2.33</v>
      </c>
      <c r="V1162">
        <v>41.5</v>
      </c>
      <c r="X1162">
        <v>41.5</v>
      </c>
    </row>
    <row r="1163" spans="1:25" x14ac:dyDescent="0.25">
      <c r="A1163" t="s">
        <v>128</v>
      </c>
      <c r="B1163" t="s">
        <v>78</v>
      </c>
      <c r="C1163" t="s">
        <v>35</v>
      </c>
      <c r="D1163">
        <v>2021</v>
      </c>
      <c r="E1163">
        <v>9789055</v>
      </c>
      <c r="F1163">
        <v>725904671328</v>
      </c>
      <c r="G1163">
        <v>149.05000000000001</v>
      </c>
      <c r="H1163">
        <v>149.26</v>
      </c>
      <c r="I1163">
        <v>6.25</v>
      </c>
      <c r="J1163">
        <v>0</v>
      </c>
      <c r="K1163">
        <v>6.25</v>
      </c>
      <c r="M1163">
        <v>10.55</v>
      </c>
      <c r="N1163">
        <v>132.25</v>
      </c>
      <c r="O1163">
        <v>4.1929999999999996</v>
      </c>
      <c r="P1163">
        <v>0</v>
      </c>
      <c r="Q1163">
        <v>4.1929999999999996</v>
      </c>
      <c r="R1163">
        <v>88.728999999999999</v>
      </c>
      <c r="S1163">
        <v>11.271000000000001</v>
      </c>
      <c r="T1163">
        <v>605.29999999999995</v>
      </c>
      <c r="U1163">
        <v>2.81</v>
      </c>
      <c r="V1163">
        <v>20.7</v>
      </c>
      <c r="X1163">
        <v>20.7</v>
      </c>
      <c r="Y1163" t="s">
        <v>81</v>
      </c>
    </row>
    <row r="1164" spans="1:25" x14ac:dyDescent="0.25">
      <c r="A1164" t="s">
        <v>128</v>
      </c>
      <c r="B1164" t="s">
        <v>78</v>
      </c>
      <c r="C1164" t="s">
        <v>35</v>
      </c>
      <c r="D1164">
        <v>2022</v>
      </c>
      <c r="E1164">
        <v>10242085</v>
      </c>
      <c r="F1164">
        <v>779701520404</v>
      </c>
      <c r="G1164">
        <v>155.41999999999999</v>
      </c>
      <c r="H1164">
        <v>155.31</v>
      </c>
      <c r="I1164">
        <v>7.74</v>
      </c>
      <c r="J1164">
        <v>0</v>
      </c>
      <c r="K1164">
        <v>7.75</v>
      </c>
      <c r="M1164">
        <v>20.100000000000001</v>
      </c>
      <c r="N1164">
        <v>127.57</v>
      </c>
      <c r="O1164">
        <v>4.9800000000000004</v>
      </c>
      <c r="P1164">
        <v>0</v>
      </c>
      <c r="Q1164">
        <v>4.9859999999999998</v>
      </c>
      <c r="R1164">
        <v>82.081000000000003</v>
      </c>
      <c r="S1164">
        <v>17.919</v>
      </c>
      <c r="T1164">
        <v>558.49</v>
      </c>
      <c r="U1164">
        <v>3.48</v>
      </c>
      <c r="V1164">
        <v>23.8</v>
      </c>
      <c r="X1164">
        <v>24</v>
      </c>
    </row>
    <row r="1165" spans="1:25" x14ac:dyDescent="0.25">
      <c r="A1165" t="s">
        <v>128</v>
      </c>
      <c r="B1165" t="s">
        <v>78</v>
      </c>
      <c r="C1165" t="s">
        <v>35</v>
      </c>
      <c r="D1165">
        <v>2023</v>
      </c>
      <c r="E1165">
        <v>10642089</v>
      </c>
      <c r="G1165">
        <v>167.53</v>
      </c>
      <c r="H1165">
        <v>167.43</v>
      </c>
      <c r="I1165">
        <v>14.4</v>
      </c>
      <c r="J1165">
        <v>0.06</v>
      </c>
      <c r="K1165">
        <v>14.67</v>
      </c>
      <c r="M1165">
        <v>34.44</v>
      </c>
      <c r="N1165">
        <v>118.42</v>
      </c>
      <c r="O1165">
        <v>8.5950000000000006</v>
      </c>
      <c r="P1165">
        <v>3.5999999999999997E-2</v>
      </c>
      <c r="Q1165">
        <v>8.7569999999999997</v>
      </c>
      <c r="R1165">
        <v>70.686000000000007</v>
      </c>
      <c r="S1165">
        <v>29.314</v>
      </c>
      <c r="T1165">
        <v>483.79</v>
      </c>
      <c r="U1165">
        <v>6.51</v>
      </c>
      <c r="V1165">
        <v>86</v>
      </c>
      <c r="X1165">
        <v>89.3</v>
      </c>
    </row>
    <row r="1166" spans="1:25" x14ac:dyDescent="0.25">
      <c r="A1166" t="s">
        <v>128</v>
      </c>
      <c r="B1166" t="s">
        <v>78</v>
      </c>
      <c r="C1166" t="s">
        <v>35</v>
      </c>
      <c r="D1166">
        <v>2024</v>
      </c>
      <c r="E1166">
        <v>11027135</v>
      </c>
      <c r="G1166">
        <v>177.26</v>
      </c>
      <c r="H1166">
        <v>177.02</v>
      </c>
      <c r="I1166">
        <v>15.21</v>
      </c>
      <c r="J1166">
        <v>0.2</v>
      </c>
      <c r="K1166">
        <v>15.62</v>
      </c>
      <c r="M1166">
        <v>40.630000000000003</v>
      </c>
      <c r="N1166">
        <v>121.01</v>
      </c>
      <c r="O1166">
        <v>8.5809999999999995</v>
      </c>
      <c r="P1166">
        <v>0.113</v>
      </c>
      <c r="Q1166">
        <v>8.8119999999999994</v>
      </c>
      <c r="R1166">
        <v>68.266999999999996</v>
      </c>
      <c r="S1166">
        <v>31.733000000000001</v>
      </c>
      <c r="T1166">
        <v>467.51</v>
      </c>
      <c r="U1166">
        <v>6.93</v>
      </c>
      <c r="V1166">
        <v>5.6</v>
      </c>
      <c r="W1166">
        <v>233.3</v>
      </c>
      <c r="X1166">
        <v>6.5</v>
      </c>
    </row>
    <row r="1167" spans="1:25" x14ac:dyDescent="0.25">
      <c r="A1167" t="s">
        <v>129</v>
      </c>
      <c r="B1167" t="s">
        <v>38</v>
      </c>
      <c r="C1167" t="s">
        <v>35</v>
      </c>
      <c r="D1167">
        <v>2000</v>
      </c>
      <c r="E1167">
        <v>59057333</v>
      </c>
      <c r="F1167">
        <v>1889565292321</v>
      </c>
      <c r="G1167">
        <v>377.06</v>
      </c>
      <c r="H1167">
        <v>391.23</v>
      </c>
      <c r="I1167">
        <v>0</v>
      </c>
      <c r="J1167">
        <v>0.94</v>
      </c>
      <c r="K1167">
        <v>9.91</v>
      </c>
      <c r="L1167">
        <v>5.09</v>
      </c>
      <c r="M1167">
        <v>85.06</v>
      </c>
      <c r="N1167">
        <v>282.08999999999997</v>
      </c>
      <c r="O1167">
        <v>0</v>
      </c>
      <c r="P1167">
        <v>0.249</v>
      </c>
      <c r="Q1167">
        <v>2.6280000000000001</v>
      </c>
      <c r="R1167">
        <v>74.813000000000002</v>
      </c>
      <c r="S1167">
        <v>25.187000000000001</v>
      </c>
      <c r="T1167">
        <v>521.99</v>
      </c>
      <c r="U1167">
        <v>0.42</v>
      </c>
    </row>
    <row r="1168" spans="1:25" x14ac:dyDescent="0.25">
      <c r="A1168" t="s">
        <v>129</v>
      </c>
      <c r="B1168" t="s">
        <v>38</v>
      </c>
      <c r="C1168" t="s">
        <v>35</v>
      </c>
      <c r="D1168">
        <v>2001</v>
      </c>
      <c r="E1168">
        <v>59288095</v>
      </c>
      <c r="F1168">
        <v>1939268312671</v>
      </c>
      <c r="G1168">
        <v>384.77</v>
      </c>
      <c r="H1168">
        <v>395.17</v>
      </c>
      <c r="I1168">
        <v>0</v>
      </c>
      <c r="J1168">
        <v>0.96</v>
      </c>
      <c r="K1168">
        <v>9.5399999999999991</v>
      </c>
      <c r="L1168">
        <v>4.05</v>
      </c>
      <c r="M1168">
        <v>90.09</v>
      </c>
      <c r="N1168">
        <v>285.14</v>
      </c>
      <c r="O1168">
        <v>0</v>
      </c>
      <c r="P1168">
        <v>0.249</v>
      </c>
      <c r="Q1168">
        <v>2.4790000000000001</v>
      </c>
      <c r="R1168">
        <v>74.106999999999999</v>
      </c>
      <c r="S1168">
        <v>25.893000000000001</v>
      </c>
      <c r="T1168">
        <v>528.99</v>
      </c>
      <c r="U1168">
        <v>0.43</v>
      </c>
      <c r="W1168">
        <v>2.1</v>
      </c>
      <c r="X1168">
        <v>-3.7</v>
      </c>
    </row>
    <row r="1169" spans="1:24" x14ac:dyDescent="0.25">
      <c r="A1169" t="s">
        <v>129</v>
      </c>
      <c r="B1169" t="s">
        <v>38</v>
      </c>
      <c r="C1169" t="s">
        <v>35</v>
      </c>
      <c r="D1169">
        <v>2002</v>
      </c>
      <c r="E1169">
        <v>59540764</v>
      </c>
      <c r="F1169">
        <v>1983994308619</v>
      </c>
      <c r="G1169">
        <v>387.24</v>
      </c>
      <c r="H1169">
        <v>395.65</v>
      </c>
      <c r="I1169">
        <v>0</v>
      </c>
      <c r="J1169">
        <v>1.25</v>
      </c>
      <c r="K1169">
        <v>11.12</v>
      </c>
      <c r="L1169">
        <v>4.79</v>
      </c>
      <c r="M1169">
        <v>87.85</v>
      </c>
      <c r="N1169">
        <v>288.27</v>
      </c>
      <c r="O1169">
        <v>0</v>
      </c>
      <c r="P1169">
        <v>0.32300000000000001</v>
      </c>
      <c r="Q1169">
        <v>2.8719999999999999</v>
      </c>
      <c r="R1169">
        <v>74.441999999999993</v>
      </c>
      <c r="S1169">
        <v>25.558</v>
      </c>
      <c r="T1169">
        <v>520.89</v>
      </c>
      <c r="U1169">
        <v>0.56000000000000005</v>
      </c>
      <c r="W1169">
        <v>30.2</v>
      </c>
      <c r="X1169">
        <v>16.600000000000001</v>
      </c>
    </row>
    <row r="1170" spans="1:24" x14ac:dyDescent="0.25">
      <c r="A1170" t="s">
        <v>129</v>
      </c>
      <c r="B1170" t="s">
        <v>38</v>
      </c>
      <c r="C1170" t="s">
        <v>35</v>
      </c>
      <c r="D1170">
        <v>2003</v>
      </c>
      <c r="E1170">
        <v>59820385</v>
      </c>
      <c r="F1170">
        <v>2050625402735</v>
      </c>
      <c r="G1170">
        <v>398.21</v>
      </c>
      <c r="H1170">
        <v>400.37</v>
      </c>
      <c r="I1170">
        <v>0</v>
      </c>
      <c r="J1170">
        <v>1.29</v>
      </c>
      <c r="K1170">
        <v>10.69</v>
      </c>
      <c r="L1170">
        <v>3.23</v>
      </c>
      <c r="M1170">
        <v>88.69</v>
      </c>
      <c r="N1170">
        <v>298.83</v>
      </c>
      <c r="O1170">
        <v>0</v>
      </c>
      <c r="P1170">
        <v>0.32400000000000001</v>
      </c>
      <c r="Q1170">
        <v>2.6850000000000001</v>
      </c>
      <c r="R1170">
        <v>75.043000000000006</v>
      </c>
      <c r="S1170">
        <v>24.957000000000001</v>
      </c>
      <c r="T1170">
        <v>536.78</v>
      </c>
      <c r="U1170">
        <v>0.57999999999999996</v>
      </c>
      <c r="W1170">
        <v>3.2</v>
      </c>
      <c r="X1170">
        <v>-3.9</v>
      </c>
    </row>
    <row r="1171" spans="1:24" x14ac:dyDescent="0.25">
      <c r="A1171" t="s">
        <v>129</v>
      </c>
      <c r="B1171" t="s">
        <v>38</v>
      </c>
      <c r="C1171" t="s">
        <v>35</v>
      </c>
      <c r="D1171">
        <v>2004</v>
      </c>
      <c r="E1171">
        <v>60169964</v>
      </c>
      <c r="F1171">
        <v>2099526641365</v>
      </c>
      <c r="G1171">
        <v>393.92</v>
      </c>
      <c r="H1171">
        <v>401.41</v>
      </c>
      <c r="I1171">
        <v>0</v>
      </c>
      <c r="J1171">
        <v>1.94</v>
      </c>
      <c r="K1171">
        <v>14.14</v>
      </c>
      <c r="L1171">
        <v>4.84</v>
      </c>
      <c r="M1171">
        <v>80</v>
      </c>
      <c r="N1171">
        <v>299.77999999999997</v>
      </c>
      <c r="O1171">
        <v>0</v>
      </c>
      <c r="P1171">
        <v>0.49199999999999999</v>
      </c>
      <c r="Q1171">
        <v>3.59</v>
      </c>
      <c r="R1171">
        <v>76.102000000000004</v>
      </c>
      <c r="S1171">
        <v>23.898</v>
      </c>
      <c r="T1171">
        <v>536.02</v>
      </c>
      <c r="U1171">
        <v>0.87</v>
      </c>
      <c r="W1171">
        <v>50.4</v>
      </c>
      <c r="X1171">
        <v>32.299999999999997</v>
      </c>
    </row>
    <row r="1172" spans="1:24" x14ac:dyDescent="0.25">
      <c r="A1172" t="s">
        <v>129</v>
      </c>
      <c r="B1172" t="s">
        <v>38</v>
      </c>
      <c r="C1172" t="s">
        <v>35</v>
      </c>
      <c r="D1172">
        <v>2005</v>
      </c>
      <c r="E1172">
        <v>60596107</v>
      </c>
      <c r="F1172">
        <v>2161729510824</v>
      </c>
      <c r="G1172">
        <v>398.35</v>
      </c>
      <c r="H1172">
        <v>406.67</v>
      </c>
      <c r="I1172">
        <v>0.01</v>
      </c>
      <c r="J1172">
        <v>2.9</v>
      </c>
      <c r="K1172">
        <v>16.93</v>
      </c>
      <c r="L1172">
        <v>4.92</v>
      </c>
      <c r="M1172">
        <v>81.62</v>
      </c>
      <c r="N1172">
        <v>299.8</v>
      </c>
      <c r="O1172">
        <v>3.0000000000000001E-3</v>
      </c>
      <c r="P1172">
        <v>0.72799999999999998</v>
      </c>
      <c r="Q1172">
        <v>4.25</v>
      </c>
      <c r="R1172">
        <v>75.260000000000005</v>
      </c>
      <c r="S1172">
        <v>24.74</v>
      </c>
      <c r="T1172">
        <v>535.26</v>
      </c>
      <c r="U1172">
        <v>1.31</v>
      </c>
      <c r="W1172">
        <v>49.5</v>
      </c>
      <c r="X1172">
        <v>19.7</v>
      </c>
    </row>
    <row r="1173" spans="1:24" x14ac:dyDescent="0.25">
      <c r="A1173" t="s">
        <v>129</v>
      </c>
      <c r="B1173" t="s">
        <v>38</v>
      </c>
      <c r="C1173" t="s">
        <v>35</v>
      </c>
      <c r="D1173">
        <v>2006</v>
      </c>
      <c r="E1173">
        <v>61051093</v>
      </c>
      <c r="F1173">
        <v>2212618867772</v>
      </c>
      <c r="G1173">
        <v>397.27</v>
      </c>
      <c r="H1173">
        <v>404.79</v>
      </c>
      <c r="I1173">
        <v>0.01</v>
      </c>
      <c r="J1173">
        <v>4.22</v>
      </c>
      <c r="K1173">
        <v>18.100000000000001</v>
      </c>
      <c r="L1173">
        <v>4.59</v>
      </c>
      <c r="M1173">
        <v>75.45</v>
      </c>
      <c r="N1173">
        <v>303.72000000000003</v>
      </c>
      <c r="O1173">
        <v>3.0000000000000001E-3</v>
      </c>
      <c r="P1173">
        <v>1.0620000000000001</v>
      </c>
      <c r="Q1173">
        <v>4.556</v>
      </c>
      <c r="R1173">
        <v>76.451999999999998</v>
      </c>
      <c r="S1173">
        <v>23.547999999999998</v>
      </c>
      <c r="T1173">
        <v>559.34</v>
      </c>
      <c r="U1173">
        <v>1.9</v>
      </c>
      <c r="V1173">
        <v>0</v>
      </c>
      <c r="W1173">
        <v>45.5</v>
      </c>
      <c r="X1173">
        <v>6.9</v>
      </c>
    </row>
    <row r="1174" spans="1:24" x14ac:dyDescent="0.25">
      <c r="A1174" t="s">
        <v>129</v>
      </c>
      <c r="B1174" t="s">
        <v>38</v>
      </c>
      <c r="C1174" t="s">
        <v>35</v>
      </c>
      <c r="D1174">
        <v>2007</v>
      </c>
      <c r="E1174">
        <v>61535859</v>
      </c>
      <c r="F1174">
        <v>2267631534502</v>
      </c>
      <c r="G1174">
        <v>396.81</v>
      </c>
      <c r="H1174">
        <v>402.02</v>
      </c>
      <c r="I1174">
        <v>0.01</v>
      </c>
      <c r="J1174">
        <v>5.27</v>
      </c>
      <c r="K1174">
        <v>19.68</v>
      </c>
      <c r="L1174">
        <v>5.08</v>
      </c>
      <c r="M1174">
        <v>63.03</v>
      </c>
      <c r="N1174">
        <v>314.10000000000002</v>
      </c>
      <c r="O1174">
        <v>3.0000000000000001E-3</v>
      </c>
      <c r="P1174">
        <v>1.3280000000000001</v>
      </c>
      <c r="Q1174">
        <v>4.96</v>
      </c>
      <c r="R1174">
        <v>79.156000000000006</v>
      </c>
      <c r="S1174">
        <v>20.844000000000001</v>
      </c>
      <c r="T1174">
        <v>556.05999999999995</v>
      </c>
      <c r="U1174">
        <v>2.38</v>
      </c>
      <c r="V1174">
        <v>0</v>
      </c>
      <c r="W1174">
        <v>24.9</v>
      </c>
      <c r="X1174">
        <v>8.6999999999999993</v>
      </c>
    </row>
    <row r="1175" spans="1:24" x14ac:dyDescent="0.25">
      <c r="A1175" t="s">
        <v>129</v>
      </c>
      <c r="B1175" t="s">
        <v>38</v>
      </c>
      <c r="C1175" t="s">
        <v>35</v>
      </c>
      <c r="D1175">
        <v>2008</v>
      </c>
      <c r="E1175">
        <v>62027303</v>
      </c>
      <c r="F1175">
        <v>2252034759561</v>
      </c>
      <c r="G1175">
        <v>388.96</v>
      </c>
      <c r="H1175">
        <v>399.98</v>
      </c>
      <c r="I1175">
        <v>0.02</v>
      </c>
      <c r="J1175">
        <v>7.13</v>
      </c>
      <c r="K1175">
        <v>21.94</v>
      </c>
      <c r="L1175">
        <v>5.14</v>
      </c>
      <c r="M1175">
        <v>52.49</v>
      </c>
      <c r="N1175">
        <v>314.52999999999997</v>
      </c>
      <c r="O1175">
        <v>5.0000000000000001E-3</v>
      </c>
      <c r="P1175">
        <v>1.833</v>
      </c>
      <c r="Q1175">
        <v>5.641</v>
      </c>
      <c r="R1175">
        <v>80.864000000000004</v>
      </c>
      <c r="S1175">
        <v>19.135999999999999</v>
      </c>
      <c r="T1175">
        <v>554.38</v>
      </c>
      <c r="U1175">
        <v>3.22</v>
      </c>
      <c r="V1175">
        <v>100</v>
      </c>
      <c r="W1175">
        <v>35.299999999999997</v>
      </c>
      <c r="X1175">
        <v>11.5</v>
      </c>
    </row>
    <row r="1176" spans="1:24" x14ac:dyDescent="0.25">
      <c r="A1176" t="s">
        <v>129</v>
      </c>
      <c r="B1176" t="s">
        <v>38</v>
      </c>
      <c r="C1176" t="s">
        <v>35</v>
      </c>
      <c r="D1176">
        <v>2009</v>
      </c>
      <c r="E1176">
        <v>62506222</v>
      </c>
      <c r="F1176">
        <v>2151479208521</v>
      </c>
      <c r="G1176">
        <v>376.76</v>
      </c>
      <c r="H1176">
        <v>379.62</v>
      </c>
      <c r="I1176">
        <v>0.02</v>
      </c>
      <c r="J1176">
        <v>9.2799999999999994</v>
      </c>
      <c r="K1176">
        <v>25.24</v>
      </c>
      <c r="L1176">
        <v>5.23</v>
      </c>
      <c r="M1176">
        <v>69.099999999999994</v>
      </c>
      <c r="N1176">
        <v>282.42</v>
      </c>
      <c r="O1176">
        <v>5.0000000000000001E-3</v>
      </c>
      <c r="P1176">
        <v>2.4630000000000001</v>
      </c>
      <c r="Q1176">
        <v>6.6989999999999998</v>
      </c>
      <c r="R1176">
        <v>74.959999999999994</v>
      </c>
      <c r="S1176">
        <v>25.04</v>
      </c>
      <c r="T1176">
        <v>504.65</v>
      </c>
      <c r="U1176">
        <v>4.18</v>
      </c>
      <c r="V1176">
        <v>0</v>
      </c>
      <c r="W1176">
        <v>30.2</v>
      </c>
      <c r="X1176">
        <v>15</v>
      </c>
    </row>
    <row r="1177" spans="1:24" x14ac:dyDescent="0.25">
      <c r="A1177" t="s">
        <v>129</v>
      </c>
      <c r="B1177" t="s">
        <v>38</v>
      </c>
      <c r="C1177" t="s">
        <v>35</v>
      </c>
      <c r="D1177">
        <v>2010</v>
      </c>
      <c r="E1177">
        <v>63006482</v>
      </c>
      <c r="F1177">
        <v>2190919919855</v>
      </c>
      <c r="G1177">
        <v>382.06</v>
      </c>
      <c r="H1177">
        <v>384.72</v>
      </c>
      <c r="I1177">
        <v>0.04</v>
      </c>
      <c r="J1177">
        <v>10.29</v>
      </c>
      <c r="K1177">
        <v>26.18</v>
      </c>
      <c r="L1177">
        <v>3.59</v>
      </c>
      <c r="M1177">
        <v>62.14</v>
      </c>
      <c r="N1177">
        <v>293.74</v>
      </c>
      <c r="O1177">
        <v>0.01</v>
      </c>
      <c r="P1177">
        <v>2.6930000000000001</v>
      </c>
      <c r="Q1177">
        <v>6.8520000000000003</v>
      </c>
      <c r="R1177">
        <v>76.882999999999996</v>
      </c>
      <c r="S1177">
        <v>23.117000000000001</v>
      </c>
      <c r="T1177">
        <v>517.20000000000005</v>
      </c>
      <c r="U1177">
        <v>4.6500000000000004</v>
      </c>
      <c r="V1177">
        <v>100</v>
      </c>
      <c r="W1177">
        <v>10.9</v>
      </c>
      <c r="X1177">
        <v>3.7</v>
      </c>
    </row>
    <row r="1178" spans="1:24" x14ac:dyDescent="0.25">
      <c r="A1178" t="s">
        <v>129</v>
      </c>
      <c r="B1178" t="s">
        <v>38</v>
      </c>
      <c r="C1178" t="s">
        <v>35</v>
      </c>
      <c r="D1178">
        <v>2011</v>
      </c>
      <c r="E1178">
        <v>63509285</v>
      </c>
      <c r="F1178">
        <v>2223011392593</v>
      </c>
      <c r="G1178">
        <v>367.97</v>
      </c>
      <c r="H1178">
        <v>374.19</v>
      </c>
      <c r="I1178">
        <v>0.24</v>
      </c>
      <c r="J1178">
        <v>15.96</v>
      </c>
      <c r="K1178">
        <v>35.200000000000003</v>
      </c>
      <c r="L1178">
        <v>5.69</v>
      </c>
      <c r="M1178">
        <v>68.98</v>
      </c>
      <c r="N1178">
        <v>263.79000000000002</v>
      </c>
      <c r="O1178">
        <v>6.5000000000000002E-2</v>
      </c>
      <c r="P1178">
        <v>4.3369999999999997</v>
      </c>
      <c r="Q1178">
        <v>9.5660000000000007</v>
      </c>
      <c r="R1178">
        <v>71.688000000000002</v>
      </c>
      <c r="S1178">
        <v>28.312000000000001</v>
      </c>
      <c r="T1178">
        <v>499.63</v>
      </c>
      <c r="U1178">
        <v>7.29</v>
      </c>
      <c r="V1178">
        <v>500</v>
      </c>
      <c r="W1178">
        <v>55.1</v>
      </c>
      <c r="X1178">
        <v>34.5</v>
      </c>
    </row>
    <row r="1179" spans="1:24" x14ac:dyDescent="0.25">
      <c r="A1179" t="s">
        <v>129</v>
      </c>
      <c r="B1179" t="s">
        <v>38</v>
      </c>
      <c r="C1179" t="s">
        <v>35</v>
      </c>
      <c r="D1179">
        <v>2012</v>
      </c>
      <c r="E1179">
        <v>63960488</v>
      </c>
      <c r="F1179">
        <v>2255210551431</v>
      </c>
      <c r="G1179">
        <v>363.87</v>
      </c>
      <c r="H1179">
        <v>375.73</v>
      </c>
      <c r="I1179">
        <v>1.35</v>
      </c>
      <c r="J1179">
        <v>19.84</v>
      </c>
      <c r="K1179">
        <v>41.24</v>
      </c>
      <c r="L1179">
        <v>5.31</v>
      </c>
      <c r="M1179">
        <v>70.41</v>
      </c>
      <c r="N1179">
        <v>252.22</v>
      </c>
      <c r="O1179">
        <v>0.371</v>
      </c>
      <c r="P1179">
        <v>5.452</v>
      </c>
      <c r="Q1179">
        <v>11.334</v>
      </c>
      <c r="R1179">
        <v>69.316000000000003</v>
      </c>
      <c r="S1179">
        <v>30.684000000000001</v>
      </c>
      <c r="T1179">
        <v>537.23</v>
      </c>
      <c r="U1179">
        <v>9.5399999999999991</v>
      </c>
      <c r="V1179">
        <v>462.5</v>
      </c>
      <c r="W1179">
        <v>24.3</v>
      </c>
      <c r="X1179">
        <v>17.2</v>
      </c>
    </row>
    <row r="1180" spans="1:24" x14ac:dyDescent="0.25">
      <c r="A1180" t="s">
        <v>129</v>
      </c>
      <c r="B1180" t="s">
        <v>38</v>
      </c>
      <c r="C1180" t="s">
        <v>35</v>
      </c>
      <c r="D1180">
        <v>2013</v>
      </c>
      <c r="E1180">
        <v>64389386</v>
      </c>
      <c r="F1180">
        <v>2296252599482</v>
      </c>
      <c r="G1180">
        <v>358.28</v>
      </c>
      <c r="H1180">
        <v>372.71</v>
      </c>
      <c r="I1180">
        <v>2.0099999999999998</v>
      </c>
      <c r="J1180">
        <v>28.4</v>
      </c>
      <c r="K1180">
        <v>53.21</v>
      </c>
      <c r="L1180">
        <v>4.7</v>
      </c>
      <c r="M1180">
        <v>70.61</v>
      </c>
      <c r="N1180">
        <v>234.46</v>
      </c>
      <c r="O1180">
        <v>0.56100000000000005</v>
      </c>
      <c r="P1180">
        <v>7.9269999999999996</v>
      </c>
      <c r="Q1180">
        <v>14.852</v>
      </c>
      <c r="R1180">
        <v>65.44</v>
      </c>
      <c r="S1180">
        <v>34.56</v>
      </c>
      <c r="T1180">
        <v>506.92</v>
      </c>
      <c r="U1180">
        <v>13.68</v>
      </c>
      <c r="V1180">
        <v>48.9</v>
      </c>
      <c r="W1180">
        <v>43.1</v>
      </c>
      <c r="X1180">
        <v>29</v>
      </c>
    </row>
    <row r="1181" spans="1:24" x14ac:dyDescent="0.25">
      <c r="A1181" t="s">
        <v>129</v>
      </c>
      <c r="B1181" t="s">
        <v>38</v>
      </c>
      <c r="C1181" t="s">
        <v>35</v>
      </c>
      <c r="D1181">
        <v>2014</v>
      </c>
      <c r="E1181">
        <v>64865914</v>
      </c>
      <c r="F1181">
        <v>2369725553442</v>
      </c>
      <c r="G1181">
        <v>338.08</v>
      </c>
      <c r="H1181">
        <v>358.6</v>
      </c>
      <c r="I1181">
        <v>4.05</v>
      </c>
      <c r="J1181">
        <v>31.95</v>
      </c>
      <c r="K1181">
        <v>64.510000000000005</v>
      </c>
      <c r="L1181">
        <v>5.89</v>
      </c>
      <c r="M1181">
        <v>63.75</v>
      </c>
      <c r="N1181">
        <v>209.82</v>
      </c>
      <c r="O1181">
        <v>1.198</v>
      </c>
      <c r="P1181">
        <v>9.4499999999999993</v>
      </c>
      <c r="Q1181">
        <v>19.081</v>
      </c>
      <c r="R1181">
        <v>62.061999999999998</v>
      </c>
      <c r="S1181">
        <v>37.938000000000002</v>
      </c>
      <c r="T1181">
        <v>462.88</v>
      </c>
      <c r="U1181">
        <v>16.2</v>
      </c>
      <c r="V1181">
        <v>101.5</v>
      </c>
      <c r="W1181">
        <v>12.5</v>
      </c>
      <c r="X1181">
        <v>21.2</v>
      </c>
    </row>
    <row r="1182" spans="1:24" x14ac:dyDescent="0.25">
      <c r="A1182" t="s">
        <v>129</v>
      </c>
      <c r="B1182" t="s">
        <v>38</v>
      </c>
      <c r="C1182" t="s">
        <v>35</v>
      </c>
      <c r="D1182">
        <v>2015</v>
      </c>
      <c r="E1182">
        <v>65382107</v>
      </c>
      <c r="F1182">
        <v>2426435869267</v>
      </c>
      <c r="G1182">
        <v>338.87</v>
      </c>
      <c r="H1182">
        <v>359.98</v>
      </c>
      <c r="I1182">
        <v>7.53</v>
      </c>
      <c r="J1182">
        <v>40.270000000000003</v>
      </c>
      <c r="K1182">
        <v>83.36</v>
      </c>
      <c r="L1182">
        <v>6.3</v>
      </c>
      <c r="M1182">
        <v>70.34</v>
      </c>
      <c r="N1182">
        <v>185.17</v>
      </c>
      <c r="O1182">
        <v>2.222</v>
      </c>
      <c r="P1182">
        <v>11.884</v>
      </c>
      <c r="Q1182">
        <v>24.599</v>
      </c>
      <c r="R1182">
        <v>54.643000000000001</v>
      </c>
      <c r="S1182">
        <v>45.356999999999999</v>
      </c>
      <c r="T1182">
        <v>397.79</v>
      </c>
      <c r="U1182">
        <v>21.51</v>
      </c>
      <c r="V1182">
        <v>85.9</v>
      </c>
      <c r="W1182">
        <v>26</v>
      </c>
      <c r="X1182">
        <v>29.2</v>
      </c>
    </row>
    <row r="1183" spans="1:24" x14ac:dyDescent="0.25">
      <c r="A1183" t="s">
        <v>129</v>
      </c>
      <c r="B1183" t="s">
        <v>38</v>
      </c>
      <c r="C1183" t="s">
        <v>35</v>
      </c>
      <c r="D1183">
        <v>2016</v>
      </c>
      <c r="E1183">
        <v>65893359</v>
      </c>
      <c r="F1183">
        <v>2478973016876</v>
      </c>
      <c r="G1183">
        <v>339.18</v>
      </c>
      <c r="H1183">
        <v>356.93</v>
      </c>
      <c r="I1183">
        <v>10.41</v>
      </c>
      <c r="J1183">
        <v>37.159999999999997</v>
      </c>
      <c r="K1183">
        <v>83.01</v>
      </c>
      <c r="L1183">
        <v>5.37</v>
      </c>
      <c r="M1183">
        <v>71.73</v>
      </c>
      <c r="N1183">
        <v>184.44</v>
      </c>
      <c r="O1183">
        <v>3.069</v>
      </c>
      <c r="P1183">
        <v>10.956</v>
      </c>
      <c r="Q1183">
        <v>24.474</v>
      </c>
      <c r="R1183">
        <v>54.378</v>
      </c>
      <c r="S1183">
        <v>45.622</v>
      </c>
      <c r="T1183">
        <v>333.45</v>
      </c>
      <c r="U1183">
        <v>21.41</v>
      </c>
      <c r="V1183">
        <v>38.200000000000003</v>
      </c>
      <c r="W1183">
        <v>-7.7</v>
      </c>
      <c r="X1183">
        <v>-0.4</v>
      </c>
    </row>
    <row r="1184" spans="1:24" x14ac:dyDescent="0.25">
      <c r="A1184" t="s">
        <v>129</v>
      </c>
      <c r="B1184" t="s">
        <v>38</v>
      </c>
      <c r="C1184" t="s">
        <v>35</v>
      </c>
      <c r="D1184">
        <v>2017</v>
      </c>
      <c r="E1184">
        <v>66354473</v>
      </c>
      <c r="F1184">
        <v>2539548543933</v>
      </c>
      <c r="G1184">
        <v>338.22</v>
      </c>
      <c r="H1184">
        <v>352.98</v>
      </c>
      <c r="I1184">
        <v>11.46</v>
      </c>
      <c r="J1184">
        <v>49.65</v>
      </c>
      <c r="K1184">
        <v>98.89</v>
      </c>
      <c r="L1184">
        <v>5.88</v>
      </c>
      <c r="M1184">
        <v>70.34</v>
      </c>
      <c r="N1184">
        <v>168.99</v>
      </c>
      <c r="O1184">
        <v>3.3879999999999999</v>
      </c>
      <c r="P1184">
        <v>14.68</v>
      </c>
      <c r="Q1184">
        <v>29.238</v>
      </c>
      <c r="R1184">
        <v>49.965000000000003</v>
      </c>
      <c r="S1184">
        <v>50.034999999999997</v>
      </c>
      <c r="T1184">
        <v>302.2</v>
      </c>
      <c r="U1184">
        <v>27.5</v>
      </c>
      <c r="V1184">
        <v>10.1</v>
      </c>
      <c r="W1184">
        <v>33.6</v>
      </c>
      <c r="X1184">
        <v>19.100000000000001</v>
      </c>
    </row>
    <row r="1185" spans="1:25" x14ac:dyDescent="0.25">
      <c r="A1185" t="s">
        <v>129</v>
      </c>
      <c r="B1185" t="s">
        <v>38</v>
      </c>
      <c r="C1185" t="s">
        <v>35</v>
      </c>
      <c r="D1185">
        <v>2018</v>
      </c>
      <c r="E1185">
        <v>66752473</v>
      </c>
      <c r="F1185">
        <v>2582848171416</v>
      </c>
      <c r="G1185">
        <v>333.76</v>
      </c>
      <c r="H1185">
        <v>352.87</v>
      </c>
      <c r="I1185">
        <v>12.67</v>
      </c>
      <c r="J1185">
        <v>56.91</v>
      </c>
      <c r="K1185">
        <v>110.14</v>
      </c>
      <c r="L1185">
        <v>5.44</v>
      </c>
      <c r="M1185">
        <v>65.06</v>
      </c>
      <c r="N1185">
        <v>158.56</v>
      </c>
      <c r="O1185">
        <v>3.7959999999999998</v>
      </c>
      <c r="P1185">
        <v>17.050999999999998</v>
      </c>
      <c r="Q1185">
        <v>33</v>
      </c>
      <c r="R1185">
        <v>47.506999999999998</v>
      </c>
      <c r="S1185">
        <v>52.493000000000002</v>
      </c>
      <c r="T1185">
        <v>285.64999999999998</v>
      </c>
      <c r="U1185">
        <v>31.31</v>
      </c>
      <c r="V1185">
        <v>10.6</v>
      </c>
      <c r="W1185">
        <v>14.6</v>
      </c>
      <c r="X1185">
        <v>11.4</v>
      </c>
    </row>
    <row r="1186" spans="1:25" x14ac:dyDescent="0.25">
      <c r="A1186" t="s">
        <v>129</v>
      </c>
      <c r="B1186" t="s">
        <v>38</v>
      </c>
      <c r="C1186" t="s">
        <v>35</v>
      </c>
      <c r="D1186">
        <v>2019</v>
      </c>
      <c r="E1186">
        <v>67110958</v>
      </c>
      <c r="F1186">
        <v>2624285076706</v>
      </c>
      <c r="G1186">
        <v>327.19</v>
      </c>
      <c r="H1186">
        <v>348.36</v>
      </c>
      <c r="I1186">
        <v>12.42</v>
      </c>
      <c r="J1186">
        <v>63.84</v>
      </c>
      <c r="K1186">
        <v>119.74</v>
      </c>
      <c r="L1186">
        <v>5.93</v>
      </c>
      <c r="M1186">
        <v>56.18</v>
      </c>
      <c r="N1186">
        <v>151.27000000000001</v>
      </c>
      <c r="O1186">
        <v>3.7959999999999998</v>
      </c>
      <c r="P1186">
        <v>19.512</v>
      </c>
      <c r="Q1186">
        <v>36.595999999999997</v>
      </c>
      <c r="R1186">
        <v>46.232999999999997</v>
      </c>
      <c r="S1186">
        <v>53.767000000000003</v>
      </c>
      <c r="T1186">
        <v>268.41000000000003</v>
      </c>
      <c r="U1186">
        <v>34.32</v>
      </c>
      <c r="V1186">
        <v>-2</v>
      </c>
      <c r="W1186">
        <v>12.2</v>
      </c>
      <c r="X1186">
        <v>8.6999999999999993</v>
      </c>
      <c r="Y1186" t="s">
        <v>130</v>
      </c>
    </row>
    <row r="1187" spans="1:25" x14ac:dyDescent="0.25">
      <c r="A1187" t="s">
        <v>129</v>
      </c>
      <c r="B1187" t="s">
        <v>38</v>
      </c>
      <c r="C1187" t="s">
        <v>35</v>
      </c>
      <c r="D1187">
        <v>2020</v>
      </c>
      <c r="E1187">
        <v>67351860</v>
      </c>
      <c r="F1187">
        <v>2334804059780</v>
      </c>
      <c r="G1187">
        <v>310.3</v>
      </c>
      <c r="H1187">
        <v>328.55</v>
      </c>
      <c r="I1187">
        <v>12.55</v>
      </c>
      <c r="J1187">
        <v>75.62</v>
      </c>
      <c r="K1187">
        <v>133.63</v>
      </c>
      <c r="L1187">
        <v>6.88</v>
      </c>
      <c r="M1187">
        <v>50.24</v>
      </c>
      <c r="N1187">
        <v>126.43</v>
      </c>
      <c r="O1187">
        <v>4.0439999999999996</v>
      </c>
      <c r="P1187">
        <v>24.37</v>
      </c>
      <c r="Q1187">
        <v>43.064999999999998</v>
      </c>
      <c r="R1187">
        <v>40.744</v>
      </c>
      <c r="S1187">
        <v>59.256</v>
      </c>
      <c r="T1187">
        <v>242.54</v>
      </c>
      <c r="U1187">
        <v>39.68</v>
      </c>
      <c r="V1187">
        <v>1</v>
      </c>
      <c r="W1187">
        <v>18.5</v>
      </c>
      <c r="X1187">
        <v>11.6</v>
      </c>
    </row>
    <row r="1188" spans="1:25" x14ac:dyDescent="0.25">
      <c r="A1188" t="s">
        <v>129</v>
      </c>
      <c r="B1188" t="s">
        <v>38</v>
      </c>
      <c r="C1188" t="s">
        <v>35</v>
      </c>
      <c r="D1188">
        <v>2021</v>
      </c>
      <c r="E1188">
        <v>67668788</v>
      </c>
      <c r="F1188">
        <v>2512190098029</v>
      </c>
      <c r="G1188">
        <v>307.89999999999998</v>
      </c>
      <c r="H1188">
        <v>332.64</v>
      </c>
      <c r="I1188">
        <v>12.13</v>
      </c>
      <c r="J1188">
        <v>64.930000000000007</v>
      </c>
      <c r="K1188">
        <v>122.49</v>
      </c>
      <c r="L1188">
        <v>5.42</v>
      </c>
      <c r="M1188">
        <v>46.1</v>
      </c>
      <c r="N1188">
        <v>139.31</v>
      </c>
      <c r="O1188">
        <v>3.94</v>
      </c>
      <c r="P1188">
        <v>21.088000000000001</v>
      </c>
      <c r="Q1188">
        <v>39.781999999999996</v>
      </c>
      <c r="R1188">
        <v>45.244999999999997</v>
      </c>
      <c r="S1188">
        <v>54.755000000000003</v>
      </c>
      <c r="T1188">
        <v>267.10000000000002</v>
      </c>
      <c r="U1188">
        <v>34.68</v>
      </c>
      <c r="V1188">
        <v>-3.3</v>
      </c>
      <c r="W1188">
        <v>-14.1</v>
      </c>
      <c r="X1188">
        <v>-8.3000000000000007</v>
      </c>
    </row>
    <row r="1189" spans="1:25" x14ac:dyDescent="0.25">
      <c r="A1189" t="s">
        <v>129</v>
      </c>
      <c r="B1189" t="s">
        <v>38</v>
      </c>
      <c r="C1189" t="s">
        <v>35</v>
      </c>
      <c r="D1189">
        <v>2022</v>
      </c>
      <c r="E1189">
        <v>68179315</v>
      </c>
      <c r="F1189">
        <v>2615230634906</v>
      </c>
      <c r="G1189">
        <v>324.58</v>
      </c>
      <c r="H1189">
        <v>320.27999999999997</v>
      </c>
      <c r="I1189">
        <v>13.34</v>
      </c>
      <c r="J1189">
        <v>80.209999999999994</v>
      </c>
      <c r="K1189">
        <v>135.06</v>
      </c>
      <c r="L1189">
        <v>5.66</v>
      </c>
      <c r="M1189">
        <v>47.4</v>
      </c>
      <c r="N1189">
        <v>142.12</v>
      </c>
      <c r="O1189">
        <v>4.1100000000000003</v>
      </c>
      <c r="P1189">
        <v>24.712</v>
      </c>
      <c r="Q1189">
        <v>41.610999999999997</v>
      </c>
      <c r="R1189">
        <v>43.786000000000001</v>
      </c>
      <c r="S1189">
        <v>56.213999999999999</v>
      </c>
      <c r="T1189">
        <v>254.98</v>
      </c>
      <c r="U1189">
        <v>42.1</v>
      </c>
      <c r="V1189">
        <v>10</v>
      </c>
      <c r="W1189">
        <v>23.5</v>
      </c>
      <c r="X1189">
        <v>10.3</v>
      </c>
      <c r="Y1189" t="s">
        <v>131</v>
      </c>
    </row>
    <row r="1190" spans="1:25" x14ac:dyDescent="0.25">
      <c r="A1190" t="s">
        <v>129</v>
      </c>
      <c r="B1190" t="s">
        <v>38</v>
      </c>
      <c r="C1190" t="s">
        <v>35</v>
      </c>
      <c r="D1190">
        <v>2023</v>
      </c>
      <c r="E1190">
        <v>68682965</v>
      </c>
      <c r="G1190">
        <v>292.52999999999997</v>
      </c>
      <c r="H1190">
        <v>315.83</v>
      </c>
      <c r="I1190">
        <v>13.88</v>
      </c>
      <c r="J1190">
        <v>82.15</v>
      </c>
      <c r="K1190">
        <v>135.66999999999999</v>
      </c>
      <c r="L1190">
        <v>5.54</v>
      </c>
      <c r="M1190">
        <v>40.6</v>
      </c>
      <c r="N1190">
        <v>116.26</v>
      </c>
      <c r="O1190">
        <v>4.7450000000000001</v>
      </c>
      <c r="P1190">
        <v>28.082999999999998</v>
      </c>
      <c r="Q1190">
        <v>46.378</v>
      </c>
      <c r="R1190">
        <v>39.743000000000002</v>
      </c>
      <c r="S1190">
        <v>60.256999999999998</v>
      </c>
      <c r="T1190">
        <v>235.63</v>
      </c>
      <c r="U1190">
        <v>43.21</v>
      </c>
      <c r="V1190">
        <v>4</v>
      </c>
      <c r="W1190">
        <v>2.4</v>
      </c>
      <c r="X1190">
        <v>0.5</v>
      </c>
    </row>
    <row r="1191" spans="1:25" x14ac:dyDescent="0.25">
      <c r="A1191" t="s">
        <v>129</v>
      </c>
      <c r="B1191" t="s">
        <v>38</v>
      </c>
      <c r="C1191" t="s">
        <v>35</v>
      </c>
      <c r="D1191">
        <v>2024</v>
      </c>
      <c r="E1191">
        <v>69138185</v>
      </c>
      <c r="G1191">
        <v>284.16000000000003</v>
      </c>
      <c r="H1191">
        <v>317.35000000000002</v>
      </c>
      <c r="I1191">
        <v>14.79</v>
      </c>
      <c r="J1191">
        <v>83.28</v>
      </c>
      <c r="K1191">
        <v>143.91999999999999</v>
      </c>
      <c r="L1191">
        <v>5.76</v>
      </c>
      <c r="M1191">
        <v>40.590000000000003</v>
      </c>
      <c r="N1191">
        <v>99.65</v>
      </c>
      <c r="O1191">
        <v>5.2050000000000001</v>
      </c>
      <c r="P1191">
        <v>29.306999999999999</v>
      </c>
      <c r="Q1191">
        <v>50.648000000000003</v>
      </c>
      <c r="R1191">
        <v>35.067999999999998</v>
      </c>
      <c r="S1191">
        <v>64.932000000000002</v>
      </c>
      <c r="T1191">
        <v>216.5</v>
      </c>
      <c r="U1191">
        <v>44.13</v>
      </c>
      <c r="V1191">
        <v>6.6</v>
      </c>
      <c r="W1191">
        <v>1.4</v>
      </c>
      <c r="X1191">
        <v>6.1</v>
      </c>
    </row>
    <row r="1192" spans="1:25" x14ac:dyDescent="0.25">
      <c r="A1192" t="s">
        <v>129</v>
      </c>
      <c r="B1192" t="s">
        <v>38</v>
      </c>
      <c r="C1192" t="s">
        <v>35</v>
      </c>
      <c r="D1192">
        <v>2025</v>
      </c>
      <c r="E1192">
        <v>69551334</v>
      </c>
      <c r="G1192">
        <v>292.31</v>
      </c>
      <c r="H1192">
        <v>321.38</v>
      </c>
      <c r="I1192">
        <v>19.32</v>
      </c>
      <c r="J1192">
        <v>85.84</v>
      </c>
      <c r="K1192">
        <v>151.91999999999999</v>
      </c>
      <c r="L1192">
        <v>5.55</v>
      </c>
      <c r="M1192">
        <v>36.380000000000003</v>
      </c>
      <c r="N1192">
        <v>104.01</v>
      </c>
      <c r="O1192">
        <v>6.609</v>
      </c>
      <c r="P1192">
        <v>29.366</v>
      </c>
      <c r="Q1192">
        <v>51.972000000000001</v>
      </c>
      <c r="R1192">
        <v>35.582000000000001</v>
      </c>
      <c r="S1192">
        <v>64.418000000000006</v>
      </c>
      <c r="T1192">
        <v>217.41</v>
      </c>
      <c r="U1192">
        <v>47.32</v>
      </c>
      <c r="V1192">
        <v>30.6</v>
      </c>
      <c r="W1192">
        <v>3.1</v>
      </c>
      <c r="X1192">
        <v>5.6</v>
      </c>
    </row>
    <row r="1193" spans="1:25" x14ac:dyDescent="0.25">
      <c r="A1193" t="s">
        <v>132</v>
      </c>
      <c r="B1193" t="s">
        <v>48</v>
      </c>
      <c r="C1193" t="s">
        <v>35</v>
      </c>
      <c r="D1193">
        <v>2000</v>
      </c>
      <c r="E1193">
        <v>281484126</v>
      </c>
      <c r="F1193">
        <v>12947417795437</v>
      </c>
      <c r="G1193">
        <v>3802.1</v>
      </c>
      <c r="H1193">
        <v>3835.86</v>
      </c>
      <c r="I1193">
        <v>0.49</v>
      </c>
      <c r="J1193">
        <v>5.59</v>
      </c>
      <c r="K1193">
        <v>350.93</v>
      </c>
      <c r="L1193">
        <v>270.02999999999997</v>
      </c>
      <c r="M1193">
        <v>753.89</v>
      </c>
      <c r="N1193">
        <v>2697.28</v>
      </c>
      <c r="O1193">
        <v>1.2999999999999999E-2</v>
      </c>
      <c r="P1193">
        <v>0.14699999999999999</v>
      </c>
      <c r="Q1193">
        <v>9.23</v>
      </c>
      <c r="R1193">
        <v>70.941999999999993</v>
      </c>
      <c r="S1193">
        <v>29.058</v>
      </c>
      <c r="T1193">
        <v>607.52</v>
      </c>
      <c r="U1193">
        <v>2.74</v>
      </c>
    </row>
    <row r="1194" spans="1:25" x14ac:dyDescent="0.25">
      <c r="A1194" t="s">
        <v>132</v>
      </c>
      <c r="B1194" t="s">
        <v>48</v>
      </c>
      <c r="C1194" t="s">
        <v>35</v>
      </c>
      <c r="D1194">
        <v>2001</v>
      </c>
      <c r="E1194">
        <v>284279634</v>
      </c>
      <c r="F1194">
        <v>13073810008320</v>
      </c>
      <c r="G1194">
        <v>3727.57</v>
      </c>
      <c r="H1194">
        <v>3749.6</v>
      </c>
      <c r="I1194">
        <v>0.54</v>
      </c>
      <c r="J1194">
        <v>6.74</v>
      </c>
      <c r="K1194">
        <v>280.06</v>
      </c>
      <c r="L1194">
        <v>208.14</v>
      </c>
      <c r="M1194">
        <v>768.83</v>
      </c>
      <c r="N1194">
        <v>2678.68</v>
      </c>
      <c r="O1194">
        <v>1.4E-2</v>
      </c>
      <c r="P1194">
        <v>0.18099999999999999</v>
      </c>
      <c r="Q1194">
        <v>7.5129999999999999</v>
      </c>
      <c r="R1194">
        <v>71.861000000000004</v>
      </c>
      <c r="S1194">
        <v>28.138999999999999</v>
      </c>
      <c r="T1194">
        <v>609.89</v>
      </c>
      <c r="U1194">
        <v>3.28</v>
      </c>
      <c r="V1194">
        <v>10.199999999999999</v>
      </c>
      <c r="W1194">
        <v>20.6</v>
      </c>
      <c r="X1194">
        <v>-20.2</v>
      </c>
    </row>
    <row r="1195" spans="1:25" x14ac:dyDescent="0.25">
      <c r="A1195" t="s">
        <v>132</v>
      </c>
      <c r="B1195" t="s">
        <v>48</v>
      </c>
      <c r="C1195" t="s">
        <v>35</v>
      </c>
      <c r="D1195">
        <v>2002</v>
      </c>
      <c r="E1195">
        <v>287084335</v>
      </c>
      <c r="F1195">
        <v>13307343638671</v>
      </c>
      <c r="G1195">
        <v>3844.23</v>
      </c>
      <c r="H1195">
        <v>3865.21</v>
      </c>
      <c r="I1195">
        <v>0.55000000000000004</v>
      </c>
      <c r="J1195">
        <v>10.35</v>
      </c>
      <c r="K1195">
        <v>336.34</v>
      </c>
      <c r="L1195">
        <v>255.59</v>
      </c>
      <c r="M1195">
        <v>780.06</v>
      </c>
      <c r="N1195">
        <v>2727.83</v>
      </c>
      <c r="O1195">
        <v>1.4E-2</v>
      </c>
      <c r="P1195">
        <v>0.26900000000000002</v>
      </c>
      <c r="Q1195">
        <v>8.7490000000000006</v>
      </c>
      <c r="R1195">
        <v>70.959000000000003</v>
      </c>
      <c r="S1195">
        <v>29.041</v>
      </c>
      <c r="T1195">
        <v>600.66</v>
      </c>
      <c r="U1195">
        <v>4.9000000000000004</v>
      </c>
      <c r="V1195">
        <v>1.9</v>
      </c>
      <c r="W1195">
        <v>53.6</v>
      </c>
      <c r="X1195">
        <v>20.100000000000001</v>
      </c>
    </row>
    <row r="1196" spans="1:25" x14ac:dyDescent="0.25">
      <c r="A1196" t="s">
        <v>132</v>
      </c>
      <c r="B1196" t="s">
        <v>48</v>
      </c>
      <c r="C1196" t="s">
        <v>35</v>
      </c>
      <c r="D1196">
        <v>2003</v>
      </c>
      <c r="E1196">
        <v>289908091</v>
      </c>
      <c r="F1196">
        <v>13680911930765</v>
      </c>
      <c r="G1196">
        <v>3868.94</v>
      </c>
      <c r="H1196">
        <v>3875.36</v>
      </c>
      <c r="I1196">
        <v>0.53</v>
      </c>
      <c r="J1196">
        <v>11.19</v>
      </c>
      <c r="K1196">
        <v>349.18</v>
      </c>
      <c r="L1196">
        <v>267.27</v>
      </c>
      <c r="M1196">
        <v>763.73</v>
      </c>
      <c r="N1196">
        <v>2756.03</v>
      </c>
      <c r="O1196">
        <v>1.4E-2</v>
      </c>
      <c r="P1196">
        <v>0.28899999999999998</v>
      </c>
      <c r="Q1196">
        <v>9.0250000000000004</v>
      </c>
      <c r="R1196">
        <v>71.234999999999999</v>
      </c>
      <c r="S1196">
        <v>28.765000000000001</v>
      </c>
      <c r="T1196">
        <v>606.34</v>
      </c>
      <c r="U1196">
        <v>5.27</v>
      </c>
      <c r="V1196">
        <v>-3.6</v>
      </c>
      <c r="W1196">
        <v>8.1</v>
      </c>
      <c r="X1196">
        <v>3.8</v>
      </c>
    </row>
    <row r="1197" spans="1:25" x14ac:dyDescent="0.25">
      <c r="A1197" t="s">
        <v>132</v>
      </c>
      <c r="B1197" t="s">
        <v>48</v>
      </c>
      <c r="C1197" t="s">
        <v>35</v>
      </c>
      <c r="D1197">
        <v>2004</v>
      </c>
      <c r="E1197">
        <v>292786248</v>
      </c>
      <c r="F1197">
        <v>14198910513593</v>
      </c>
      <c r="G1197">
        <v>3951.95</v>
      </c>
      <c r="H1197">
        <v>3963.26</v>
      </c>
      <c r="I1197">
        <v>0.57999999999999996</v>
      </c>
      <c r="J1197">
        <v>14.14</v>
      </c>
      <c r="K1197">
        <v>345.14</v>
      </c>
      <c r="L1197">
        <v>259.93</v>
      </c>
      <c r="M1197">
        <v>788.53</v>
      </c>
      <c r="N1197">
        <v>2818.28</v>
      </c>
      <c r="O1197">
        <v>1.4999999999999999E-2</v>
      </c>
      <c r="P1197">
        <v>0.35799999999999998</v>
      </c>
      <c r="Q1197">
        <v>8.7330000000000005</v>
      </c>
      <c r="R1197">
        <v>71.313999999999993</v>
      </c>
      <c r="S1197">
        <v>28.686</v>
      </c>
      <c r="T1197">
        <v>602.44000000000005</v>
      </c>
      <c r="U1197">
        <v>6.62</v>
      </c>
      <c r="V1197">
        <v>9.4</v>
      </c>
      <c r="W1197">
        <v>26.4</v>
      </c>
      <c r="X1197">
        <v>-1.2</v>
      </c>
    </row>
    <row r="1198" spans="1:25" x14ac:dyDescent="0.25">
      <c r="A1198" t="s">
        <v>132</v>
      </c>
      <c r="B1198" t="s">
        <v>48</v>
      </c>
      <c r="C1198" t="s">
        <v>35</v>
      </c>
      <c r="D1198">
        <v>2005</v>
      </c>
      <c r="E1198">
        <v>295716666</v>
      </c>
      <c r="F1198">
        <v>14673826218839</v>
      </c>
      <c r="G1198">
        <v>4034.99</v>
      </c>
      <c r="H1198">
        <v>4059.77</v>
      </c>
      <c r="I1198">
        <v>0.55000000000000004</v>
      </c>
      <c r="J1198">
        <v>17.809999999999999</v>
      </c>
      <c r="K1198">
        <v>353.04</v>
      </c>
      <c r="L1198">
        <v>263.76</v>
      </c>
      <c r="M1198">
        <v>781.99</v>
      </c>
      <c r="N1198">
        <v>2899.96</v>
      </c>
      <c r="O1198">
        <v>1.4E-2</v>
      </c>
      <c r="P1198">
        <v>0.441</v>
      </c>
      <c r="Q1198">
        <v>8.7490000000000006</v>
      </c>
      <c r="R1198">
        <v>71.87</v>
      </c>
      <c r="S1198">
        <v>28.13</v>
      </c>
      <c r="T1198">
        <v>604.39</v>
      </c>
      <c r="U1198">
        <v>8.26</v>
      </c>
      <c r="V1198">
        <v>-5.2</v>
      </c>
      <c r="W1198">
        <v>26</v>
      </c>
      <c r="X1198">
        <v>2.2999999999999998</v>
      </c>
    </row>
    <row r="1199" spans="1:25" x14ac:dyDescent="0.25">
      <c r="A1199" t="s">
        <v>132</v>
      </c>
      <c r="B1199" t="s">
        <v>48</v>
      </c>
      <c r="C1199" t="s">
        <v>35</v>
      </c>
      <c r="D1199">
        <v>2006</v>
      </c>
      <c r="E1199">
        <v>298730208</v>
      </c>
      <c r="F1199">
        <v>15065164240312</v>
      </c>
      <c r="G1199">
        <v>4046.94</v>
      </c>
      <c r="H1199">
        <v>4065.36</v>
      </c>
      <c r="I1199">
        <v>0.51</v>
      </c>
      <c r="J1199">
        <v>26.59</v>
      </c>
      <c r="K1199">
        <v>381.16</v>
      </c>
      <c r="L1199">
        <v>282.69</v>
      </c>
      <c r="M1199">
        <v>787.22</v>
      </c>
      <c r="N1199">
        <v>2878.56</v>
      </c>
      <c r="O1199">
        <v>1.2999999999999999E-2</v>
      </c>
      <c r="P1199">
        <v>0.65700000000000003</v>
      </c>
      <c r="Q1199">
        <v>9.4179999999999993</v>
      </c>
      <c r="R1199">
        <v>71.129000000000005</v>
      </c>
      <c r="S1199">
        <v>28.870999999999999</v>
      </c>
      <c r="T1199">
        <v>595.46</v>
      </c>
      <c r="U1199">
        <v>12.2</v>
      </c>
      <c r="V1199">
        <v>-7.3</v>
      </c>
      <c r="W1199">
        <v>49.3</v>
      </c>
      <c r="X1199">
        <v>8</v>
      </c>
    </row>
    <row r="1200" spans="1:25" x14ac:dyDescent="0.25">
      <c r="A1200" t="s">
        <v>132</v>
      </c>
      <c r="B1200" t="s">
        <v>48</v>
      </c>
      <c r="C1200" t="s">
        <v>35</v>
      </c>
      <c r="D1200">
        <v>2007</v>
      </c>
      <c r="E1200">
        <v>301844223</v>
      </c>
      <c r="F1200">
        <v>15333183877566</v>
      </c>
      <c r="G1200">
        <v>4142.57</v>
      </c>
      <c r="H1200">
        <v>4173.82</v>
      </c>
      <c r="I1200">
        <v>0.61</v>
      </c>
      <c r="J1200">
        <v>34.450000000000003</v>
      </c>
      <c r="K1200">
        <v>347.91</v>
      </c>
      <c r="L1200">
        <v>240.61</v>
      </c>
      <c r="M1200">
        <v>806.42</v>
      </c>
      <c r="N1200">
        <v>2988.24</v>
      </c>
      <c r="O1200">
        <v>1.4999999999999999E-2</v>
      </c>
      <c r="P1200">
        <v>0.83199999999999996</v>
      </c>
      <c r="Q1200">
        <v>8.3979999999999997</v>
      </c>
      <c r="R1200">
        <v>72.135000000000005</v>
      </c>
      <c r="S1200">
        <v>27.864999999999998</v>
      </c>
      <c r="T1200">
        <v>598.47</v>
      </c>
      <c r="U1200">
        <v>15.78</v>
      </c>
      <c r="V1200">
        <v>19.600000000000001</v>
      </c>
      <c r="W1200">
        <v>29.6</v>
      </c>
      <c r="X1200">
        <v>-8.6999999999999993</v>
      </c>
    </row>
    <row r="1201" spans="1:25" x14ac:dyDescent="0.25">
      <c r="A1201" t="s">
        <v>132</v>
      </c>
      <c r="B1201" t="s">
        <v>48</v>
      </c>
      <c r="C1201" t="s">
        <v>35</v>
      </c>
      <c r="D1201">
        <v>2008</v>
      </c>
      <c r="E1201">
        <v>304970325</v>
      </c>
      <c r="F1201">
        <v>15288552732632</v>
      </c>
      <c r="G1201">
        <v>4107.53</v>
      </c>
      <c r="H1201">
        <v>4140.3500000000004</v>
      </c>
      <c r="I1201">
        <v>0.86</v>
      </c>
      <c r="J1201">
        <v>55.36</v>
      </c>
      <c r="K1201">
        <v>377.11</v>
      </c>
      <c r="L1201">
        <v>248.54</v>
      </c>
      <c r="M1201">
        <v>806.21</v>
      </c>
      <c r="N1201">
        <v>2924.21</v>
      </c>
      <c r="O1201">
        <v>2.1000000000000001E-2</v>
      </c>
      <c r="P1201">
        <v>1.3480000000000001</v>
      </c>
      <c r="Q1201">
        <v>9.1809999999999992</v>
      </c>
      <c r="R1201">
        <v>71.191000000000003</v>
      </c>
      <c r="S1201">
        <v>28.809000000000001</v>
      </c>
      <c r="T1201">
        <v>591.33000000000004</v>
      </c>
      <c r="U1201">
        <v>25.3</v>
      </c>
      <c r="V1201">
        <v>41</v>
      </c>
      <c r="W1201">
        <v>60.7</v>
      </c>
      <c r="X1201">
        <v>8.4</v>
      </c>
    </row>
    <row r="1202" spans="1:25" x14ac:dyDescent="0.25">
      <c r="A1202" t="s">
        <v>132</v>
      </c>
      <c r="B1202" t="s">
        <v>48</v>
      </c>
      <c r="C1202" t="s">
        <v>35</v>
      </c>
      <c r="D1202">
        <v>2009</v>
      </c>
      <c r="E1202">
        <v>308023452</v>
      </c>
      <c r="F1202">
        <v>14864003344421</v>
      </c>
      <c r="G1202">
        <v>3939.82</v>
      </c>
      <c r="H1202">
        <v>3973.87</v>
      </c>
      <c r="I1202">
        <v>0.89</v>
      </c>
      <c r="J1202">
        <v>73.89</v>
      </c>
      <c r="K1202">
        <v>415.56</v>
      </c>
      <c r="L1202">
        <v>268.82</v>
      </c>
      <c r="M1202">
        <v>798.85</v>
      </c>
      <c r="N1202">
        <v>2725.41</v>
      </c>
      <c r="O1202">
        <v>2.3E-2</v>
      </c>
      <c r="P1202">
        <v>1.875</v>
      </c>
      <c r="Q1202">
        <v>10.548</v>
      </c>
      <c r="R1202">
        <v>69.176000000000002</v>
      </c>
      <c r="S1202">
        <v>30.824000000000002</v>
      </c>
      <c r="T1202">
        <v>565.02</v>
      </c>
      <c r="U1202">
        <v>33.65</v>
      </c>
      <c r="V1202">
        <v>3.5</v>
      </c>
      <c r="W1202">
        <v>33.5</v>
      </c>
      <c r="X1202">
        <v>10.199999999999999</v>
      </c>
      <c r="Y1202" t="s">
        <v>133</v>
      </c>
    </row>
    <row r="1203" spans="1:25" x14ac:dyDescent="0.25">
      <c r="A1203" t="s">
        <v>132</v>
      </c>
      <c r="B1203" t="s">
        <v>48</v>
      </c>
      <c r="C1203" t="s">
        <v>35</v>
      </c>
      <c r="D1203">
        <v>2010</v>
      </c>
      <c r="E1203">
        <v>311062785</v>
      </c>
      <c r="F1203">
        <v>15239586726210</v>
      </c>
      <c r="G1203">
        <v>4113.9399999999996</v>
      </c>
      <c r="H1203">
        <v>4139.92</v>
      </c>
      <c r="I1203">
        <v>1.21</v>
      </c>
      <c r="J1203">
        <v>94.65</v>
      </c>
      <c r="K1203">
        <v>424.48</v>
      </c>
      <c r="L1203">
        <v>254.7</v>
      </c>
      <c r="M1203">
        <v>806.97</v>
      </c>
      <c r="N1203">
        <v>2882.49</v>
      </c>
      <c r="O1203">
        <v>2.9000000000000001E-2</v>
      </c>
      <c r="P1203">
        <v>2.3010000000000002</v>
      </c>
      <c r="Q1203">
        <v>10.318</v>
      </c>
      <c r="R1203">
        <v>70.066000000000003</v>
      </c>
      <c r="S1203">
        <v>29.934000000000001</v>
      </c>
      <c r="T1203">
        <v>570.80999999999995</v>
      </c>
      <c r="U1203">
        <v>43.14</v>
      </c>
      <c r="V1203">
        <v>36</v>
      </c>
      <c r="W1203">
        <v>28.1</v>
      </c>
      <c r="X1203">
        <v>2.1</v>
      </c>
    </row>
    <row r="1204" spans="1:25" x14ac:dyDescent="0.25">
      <c r="A1204" t="s">
        <v>132</v>
      </c>
      <c r="B1204" t="s">
        <v>48</v>
      </c>
      <c r="C1204" t="s">
        <v>35</v>
      </c>
      <c r="D1204">
        <v>2011</v>
      </c>
      <c r="E1204">
        <v>314105075</v>
      </c>
      <c r="F1204">
        <v>15477885525000</v>
      </c>
      <c r="G1204">
        <v>4088.87</v>
      </c>
      <c r="H1204">
        <v>4126.12</v>
      </c>
      <c r="I1204">
        <v>1.82</v>
      </c>
      <c r="J1204">
        <v>120.18</v>
      </c>
      <c r="K1204">
        <v>509.74</v>
      </c>
      <c r="L1204">
        <v>312.93</v>
      </c>
      <c r="M1204">
        <v>790.2</v>
      </c>
      <c r="N1204">
        <v>2788.93</v>
      </c>
      <c r="O1204">
        <v>4.4999999999999998E-2</v>
      </c>
      <c r="P1204">
        <v>2.9390000000000001</v>
      </c>
      <c r="Q1204">
        <v>12.467000000000001</v>
      </c>
      <c r="R1204">
        <v>68.207999999999998</v>
      </c>
      <c r="S1204">
        <v>31.792000000000002</v>
      </c>
      <c r="T1204">
        <v>550.48</v>
      </c>
      <c r="U1204">
        <v>54.9</v>
      </c>
      <c r="V1204">
        <v>50.4</v>
      </c>
      <c r="W1204">
        <v>27</v>
      </c>
      <c r="X1204">
        <v>20.100000000000001</v>
      </c>
    </row>
    <row r="1205" spans="1:25" x14ac:dyDescent="0.25">
      <c r="A1205" t="s">
        <v>132</v>
      </c>
      <c r="B1205" t="s">
        <v>48</v>
      </c>
      <c r="C1205" t="s">
        <v>35</v>
      </c>
      <c r="D1205">
        <v>2012</v>
      </c>
      <c r="E1205">
        <v>317115349</v>
      </c>
      <c r="F1205">
        <v>15830886903539</v>
      </c>
      <c r="G1205">
        <v>4040.67</v>
      </c>
      <c r="H1205">
        <v>4087.93</v>
      </c>
      <c r="I1205">
        <v>4.33</v>
      </c>
      <c r="J1205">
        <v>140.82</v>
      </c>
      <c r="K1205">
        <v>492.32</v>
      </c>
      <c r="L1205">
        <v>271.29000000000002</v>
      </c>
      <c r="M1205">
        <v>769.33</v>
      </c>
      <c r="N1205">
        <v>2779.02</v>
      </c>
      <c r="O1205">
        <v>0.107</v>
      </c>
      <c r="P1205">
        <v>3.4849999999999999</v>
      </c>
      <c r="Q1205">
        <v>12.183999999999999</v>
      </c>
      <c r="R1205">
        <v>68.775999999999996</v>
      </c>
      <c r="S1205">
        <v>31.224</v>
      </c>
      <c r="T1205">
        <v>532.77</v>
      </c>
      <c r="U1205">
        <v>65.319999999999993</v>
      </c>
      <c r="V1205">
        <v>137.9</v>
      </c>
      <c r="W1205">
        <v>17.2</v>
      </c>
      <c r="X1205">
        <v>-3.4</v>
      </c>
    </row>
    <row r="1206" spans="1:25" x14ac:dyDescent="0.25">
      <c r="A1206" t="s">
        <v>132</v>
      </c>
      <c r="B1206" t="s">
        <v>48</v>
      </c>
      <c r="C1206" t="s">
        <v>35</v>
      </c>
      <c r="D1206">
        <v>2013</v>
      </c>
      <c r="E1206">
        <v>320110752</v>
      </c>
      <c r="F1206">
        <v>16122472460312</v>
      </c>
      <c r="G1206">
        <v>4055.61</v>
      </c>
      <c r="H1206">
        <v>4113.49</v>
      </c>
      <c r="I1206">
        <v>9.0399999999999991</v>
      </c>
      <c r="J1206">
        <v>167.84</v>
      </c>
      <c r="K1206">
        <v>520.38</v>
      </c>
      <c r="L1206">
        <v>263.88</v>
      </c>
      <c r="M1206">
        <v>789.02</v>
      </c>
      <c r="N1206">
        <v>2746.21</v>
      </c>
      <c r="O1206">
        <v>0.223</v>
      </c>
      <c r="P1206">
        <v>4.1379999999999999</v>
      </c>
      <c r="Q1206">
        <v>12.831</v>
      </c>
      <c r="R1206">
        <v>67.713999999999999</v>
      </c>
      <c r="S1206">
        <v>32.286000000000001</v>
      </c>
      <c r="T1206">
        <v>533.42999999999995</v>
      </c>
      <c r="U1206">
        <v>79.599999999999994</v>
      </c>
      <c r="V1206">
        <v>108.8</v>
      </c>
      <c r="W1206">
        <v>19.2</v>
      </c>
      <c r="X1206">
        <v>5.7</v>
      </c>
    </row>
    <row r="1207" spans="1:25" x14ac:dyDescent="0.25">
      <c r="A1207" t="s">
        <v>132</v>
      </c>
      <c r="B1207" t="s">
        <v>48</v>
      </c>
      <c r="C1207" t="s">
        <v>35</v>
      </c>
      <c r="D1207">
        <v>2014</v>
      </c>
      <c r="E1207">
        <v>323115377</v>
      </c>
      <c r="F1207">
        <v>16491319003554</v>
      </c>
      <c r="G1207">
        <v>4096.01</v>
      </c>
      <c r="H1207">
        <v>4149.22</v>
      </c>
      <c r="I1207">
        <v>28.92</v>
      </c>
      <c r="J1207">
        <v>181.65</v>
      </c>
      <c r="K1207">
        <v>546.83000000000004</v>
      </c>
      <c r="L1207">
        <v>253.19</v>
      </c>
      <c r="M1207">
        <v>797.17</v>
      </c>
      <c r="N1207">
        <v>2752.01</v>
      </c>
      <c r="O1207">
        <v>0.70599999999999996</v>
      </c>
      <c r="P1207">
        <v>4.4349999999999996</v>
      </c>
      <c r="Q1207">
        <v>13.35</v>
      </c>
      <c r="R1207">
        <v>67.188000000000002</v>
      </c>
      <c r="S1207">
        <v>32.811999999999998</v>
      </c>
      <c r="T1207">
        <v>529.41</v>
      </c>
      <c r="U1207">
        <v>94.76</v>
      </c>
      <c r="V1207">
        <v>219.9</v>
      </c>
      <c r="W1207">
        <v>8.1999999999999993</v>
      </c>
      <c r="X1207">
        <v>5.0999999999999996</v>
      </c>
    </row>
    <row r="1208" spans="1:25" x14ac:dyDescent="0.25">
      <c r="A1208" t="s">
        <v>132</v>
      </c>
      <c r="B1208" t="s">
        <v>48</v>
      </c>
      <c r="C1208" t="s">
        <v>35</v>
      </c>
      <c r="D1208">
        <v>2015</v>
      </c>
      <c r="E1208">
        <v>326126496</v>
      </c>
      <c r="F1208">
        <v>16937633974582</v>
      </c>
      <c r="G1208">
        <v>4083.99</v>
      </c>
      <c r="H1208">
        <v>4150.66</v>
      </c>
      <c r="I1208">
        <v>39.03</v>
      </c>
      <c r="J1208">
        <v>190.72</v>
      </c>
      <c r="K1208">
        <v>556.49</v>
      </c>
      <c r="L1208">
        <v>243.99</v>
      </c>
      <c r="M1208">
        <v>797.18</v>
      </c>
      <c r="N1208">
        <v>2730.32</v>
      </c>
      <c r="O1208">
        <v>0.95599999999999996</v>
      </c>
      <c r="P1208">
        <v>4.67</v>
      </c>
      <c r="Q1208">
        <v>13.625999999999999</v>
      </c>
      <c r="R1208">
        <v>66.853999999999999</v>
      </c>
      <c r="S1208">
        <v>33.146000000000001</v>
      </c>
      <c r="T1208">
        <v>504.9</v>
      </c>
      <c r="U1208">
        <v>103.39</v>
      </c>
      <c r="V1208">
        <v>35</v>
      </c>
      <c r="W1208">
        <v>5</v>
      </c>
      <c r="X1208">
        <v>1.8</v>
      </c>
      <c r="Y1208" t="s">
        <v>134</v>
      </c>
    </row>
    <row r="1209" spans="1:25" x14ac:dyDescent="0.25">
      <c r="A1209" t="s">
        <v>132</v>
      </c>
      <c r="B1209" t="s">
        <v>48</v>
      </c>
      <c r="C1209" t="s">
        <v>35</v>
      </c>
      <c r="D1209">
        <v>2016</v>
      </c>
      <c r="E1209">
        <v>329179423</v>
      </c>
      <c r="F1209">
        <v>17220065720000</v>
      </c>
      <c r="G1209">
        <v>4087.56</v>
      </c>
      <c r="H1209">
        <v>4154.0600000000004</v>
      </c>
      <c r="I1209">
        <v>54.87</v>
      </c>
      <c r="J1209">
        <v>226.99</v>
      </c>
      <c r="K1209">
        <v>624.91</v>
      </c>
      <c r="L1209">
        <v>261.13</v>
      </c>
      <c r="M1209">
        <v>805.69</v>
      </c>
      <c r="N1209">
        <v>2656.96</v>
      </c>
      <c r="O1209">
        <v>1.3420000000000001</v>
      </c>
      <c r="P1209">
        <v>5.5529999999999999</v>
      </c>
      <c r="Q1209">
        <v>15.288</v>
      </c>
      <c r="R1209">
        <v>65.001000000000005</v>
      </c>
      <c r="S1209">
        <v>34.999000000000002</v>
      </c>
      <c r="T1209">
        <v>483.35</v>
      </c>
      <c r="U1209">
        <v>126.84</v>
      </c>
      <c r="V1209">
        <v>40.6</v>
      </c>
      <c r="W1209">
        <v>19</v>
      </c>
      <c r="X1209">
        <v>12.3</v>
      </c>
    </row>
    <row r="1210" spans="1:25" x14ac:dyDescent="0.25">
      <c r="A1210" t="s">
        <v>132</v>
      </c>
      <c r="B1210" t="s">
        <v>48</v>
      </c>
      <c r="C1210" t="s">
        <v>35</v>
      </c>
      <c r="D1210">
        <v>2017</v>
      </c>
      <c r="E1210">
        <v>332204657</v>
      </c>
      <c r="F1210">
        <v>17606124654726</v>
      </c>
      <c r="G1210">
        <v>4052.31</v>
      </c>
      <c r="H1210">
        <v>4108.62</v>
      </c>
      <c r="I1210">
        <v>77.28</v>
      </c>
      <c r="J1210">
        <v>254.3</v>
      </c>
      <c r="K1210">
        <v>707.19</v>
      </c>
      <c r="L1210">
        <v>293.83999999999997</v>
      </c>
      <c r="M1210">
        <v>804.95</v>
      </c>
      <c r="N1210">
        <v>2540.17</v>
      </c>
      <c r="O1210">
        <v>1.907</v>
      </c>
      <c r="P1210">
        <v>6.2750000000000004</v>
      </c>
      <c r="Q1210">
        <v>17.452000000000002</v>
      </c>
      <c r="R1210">
        <v>62.683999999999997</v>
      </c>
      <c r="S1210">
        <v>37.316000000000003</v>
      </c>
      <c r="T1210">
        <v>469.02</v>
      </c>
      <c r="U1210">
        <v>149.21</v>
      </c>
      <c r="V1210">
        <v>40.799999999999997</v>
      </c>
      <c r="W1210">
        <v>12</v>
      </c>
      <c r="X1210">
        <v>13.2</v>
      </c>
    </row>
    <row r="1211" spans="1:25" x14ac:dyDescent="0.25">
      <c r="A1211" t="s">
        <v>132</v>
      </c>
      <c r="B1211" t="s">
        <v>48</v>
      </c>
      <c r="C1211" t="s">
        <v>35</v>
      </c>
      <c r="D1211">
        <v>2018</v>
      </c>
      <c r="E1211">
        <v>335056492</v>
      </c>
      <c r="F1211">
        <v>18124692769570</v>
      </c>
      <c r="G1211">
        <v>4201.55</v>
      </c>
      <c r="H1211">
        <v>4246.01</v>
      </c>
      <c r="I1211">
        <v>93.36</v>
      </c>
      <c r="J1211">
        <v>272.67</v>
      </c>
      <c r="K1211">
        <v>733.17</v>
      </c>
      <c r="L1211">
        <v>286.62</v>
      </c>
      <c r="M1211">
        <v>807.08</v>
      </c>
      <c r="N1211">
        <v>2661.3</v>
      </c>
      <c r="O1211">
        <v>2.222</v>
      </c>
      <c r="P1211">
        <v>6.49</v>
      </c>
      <c r="Q1211">
        <v>17.45</v>
      </c>
      <c r="R1211">
        <v>63.341000000000001</v>
      </c>
      <c r="S1211">
        <v>36.658999999999999</v>
      </c>
      <c r="T1211">
        <v>462.61</v>
      </c>
      <c r="U1211">
        <v>164.71</v>
      </c>
      <c r="V1211">
        <v>20.8</v>
      </c>
      <c r="W1211">
        <v>7.2</v>
      </c>
      <c r="X1211">
        <v>3.7</v>
      </c>
    </row>
    <row r="1212" spans="1:25" x14ac:dyDescent="0.25">
      <c r="A1212" t="s">
        <v>132</v>
      </c>
      <c r="B1212" t="s">
        <v>48</v>
      </c>
      <c r="C1212" t="s">
        <v>35</v>
      </c>
      <c r="D1212">
        <v>2019</v>
      </c>
      <c r="E1212">
        <v>337790069</v>
      </c>
      <c r="F1212">
        <v>18540552700117</v>
      </c>
      <c r="G1212">
        <v>4158.38</v>
      </c>
      <c r="H1212">
        <v>4197.42</v>
      </c>
      <c r="I1212">
        <v>106.89</v>
      </c>
      <c r="J1212">
        <v>295.88</v>
      </c>
      <c r="K1212">
        <v>760.76</v>
      </c>
      <c r="L1212">
        <v>282.61</v>
      </c>
      <c r="M1212">
        <v>809.41</v>
      </c>
      <c r="N1212">
        <v>2588.21</v>
      </c>
      <c r="O1212">
        <v>2.57</v>
      </c>
      <c r="P1212">
        <v>7.1150000000000002</v>
      </c>
      <c r="Q1212">
        <v>18.295000000000002</v>
      </c>
      <c r="R1212">
        <v>62.241</v>
      </c>
      <c r="S1212">
        <v>37.759</v>
      </c>
      <c r="T1212">
        <v>439.45</v>
      </c>
      <c r="U1212">
        <v>181.25</v>
      </c>
      <c r="V1212">
        <v>14.5</v>
      </c>
      <c r="W1212">
        <v>8.5</v>
      </c>
      <c r="X1212">
        <v>3.8</v>
      </c>
    </row>
    <row r="1213" spans="1:25" x14ac:dyDescent="0.25">
      <c r="A1213" t="s">
        <v>132</v>
      </c>
      <c r="B1213" t="s">
        <v>48</v>
      </c>
      <c r="C1213" t="s">
        <v>35</v>
      </c>
      <c r="D1213">
        <v>2020</v>
      </c>
      <c r="E1213">
        <v>339436156</v>
      </c>
      <c r="F1213">
        <v>18027359681343</v>
      </c>
      <c r="G1213">
        <v>4043.18</v>
      </c>
      <c r="H1213">
        <v>4090.49</v>
      </c>
      <c r="I1213">
        <v>130.72</v>
      </c>
      <c r="J1213">
        <v>337.94</v>
      </c>
      <c r="K1213">
        <v>821.4</v>
      </c>
      <c r="L1213">
        <v>279.95</v>
      </c>
      <c r="M1213">
        <v>789.88</v>
      </c>
      <c r="N1213">
        <v>2431.9</v>
      </c>
      <c r="O1213">
        <v>3.2330000000000001</v>
      </c>
      <c r="P1213">
        <v>8.3580000000000005</v>
      </c>
      <c r="Q1213">
        <v>20.315999999999999</v>
      </c>
      <c r="R1213">
        <v>60.148000000000003</v>
      </c>
      <c r="S1213">
        <v>39.851999999999997</v>
      </c>
      <c r="T1213">
        <v>411.73</v>
      </c>
      <c r="U1213">
        <v>210.9</v>
      </c>
      <c r="V1213">
        <v>22.3</v>
      </c>
      <c r="W1213">
        <v>14.2</v>
      </c>
      <c r="X1213">
        <v>8</v>
      </c>
    </row>
    <row r="1214" spans="1:25" x14ac:dyDescent="0.25">
      <c r="A1214" t="s">
        <v>132</v>
      </c>
      <c r="B1214" t="s">
        <v>48</v>
      </c>
      <c r="C1214" t="s">
        <v>35</v>
      </c>
      <c r="D1214">
        <v>2021</v>
      </c>
      <c r="E1214">
        <v>340161438</v>
      </c>
      <c r="F1214">
        <v>19099378164000</v>
      </c>
      <c r="G1214">
        <v>4153.62</v>
      </c>
      <c r="H1214">
        <v>4192.93</v>
      </c>
      <c r="I1214">
        <v>164.42</v>
      </c>
      <c r="J1214">
        <v>378.2</v>
      </c>
      <c r="K1214">
        <v>861.58</v>
      </c>
      <c r="L1214">
        <v>246.47</v>
      </c>
      <c r="M1214">
        <v>779.65</v>
      </c>
      <c r="N1214">
        <v>2512.39</v>
      </c>
      <c r="O1214">
        <v>3.9580000000000002</v>
      </c>
      <c r="P1214">
        <v>9.1050000000000004</v>
      </c>
      <c r="Q1214">
        <v>20.742999999999999</v>
      </c>
      <c r="R1214">
        <v>60.487000000000002</v>
      </c>
      <c r="S1214">
        <v>39.512999999999998</v>
      </c>
      <c r="T1214">
        <v>423.78</v>
      </c>
      <c r="U1214">
        <v>244.18</v>
      </c>
      <c r="V1214">
        <v>25.8</v>
      </c>
      <c r="W1214">
        <v>11.9</v>
      </c>
      <c r="X1214">
        <v>4.9000000000000004</v>
      </c>
    </row>
    <row r="1215" spans="1:25" x14ac:dyDescent="0.25">
      <c r="A1215" t="s">
        <v>132</v>
      </c>
      <c r="B1215" t="s">
        <v>48</v>
      </c>
      <c r="C1215" t="s">
        <v>35</v>
      </c>
      <c r="D1215">
        <v>2022</v>
      </c>
      <c r="E1215">
        <v>341534041</v>
      </c>
      <c r="F1215">
        <v>19493170182843</v>
      </c>
      <c r="G1215">
        <v>4286.8900000000003</v>
      </c>
      <c r="H1215">
        <v>4328.1000000000004</v>
      </c>
      <c r="I1215">
        <v>205.07</v>
      </c>
      <c r="J1215">
        <v>434.3</v>
      </c>
      <c r="K1215">
        <v>958.14</v>
      </c>
      <c r="L1215">
        <v>248.76</v>
      </c>
      <c r="M1215">
        <v>771.54</v>
      </c>
      <c r="N1215">
        <v>2557.21</v>
      </c>
      <c r="O1215">
        <v>4.7839999999999998</v>
      </c>
      <c r="P1215">
        <v>10.131</v>
      </c>
      <c r="Q1215">
        <v>22.35</v>
      </c>
      <c r="R1215">
        <v>59.652000000000001</v>
      </c>
      <c r="S1215">
        <v>40.347999999999999</v>
      </c>
      <c r="T1215">
        <v>410.39</v>
      </c>
      <c r="U1215">
        <v>287.72000000000003</v>
      </c>
      <c r="V1215">
        <v>24.7</v>
      </c>
      <c r="W1215">
        <v>14.8</v>
      </c>
      <c r="X1215">
        <v>11.2</v>
      </c>
      <c r="Y1215" t="s">
        <v>141</v>
      </c>
    </row>
    <row r="1216" spans="1:25" x14ac:dyDescent="0.25">
      <c r="A1216" t="s">
        <v>132</v>
      </c>
      <c r="B1216" t="s">
        <v>48</v>
      </c>
      <c r="C1216" t="s">
        <v>35</v>
      </c>
      <c r="D1216">
        <v>2023</v>
      </c>
      <c r="E1216">
        <v>343477330</v>
      </c>
      <c r="G1216">
        <v>4253.91</v>
      </c>
      <c r="H1216">
        <v>4272.8100000000004</v>
      </c>
      <c r="I1216">
        <v>238.94</v>
      </c>
      <c r="J1216">
        <v>421.14</v>
      </c>
      <c r="K1216">
        <v>964.74</v>
      </c>
      <c r="L1216">
        <v>239.01</v>
      </c>
      <c r="M1216">
        <v>774.87</v>
      </c>
      <c r="N1216">
        <v>2514.3000000000002</v>
      </c>
      <c r="O1216">
        <v>5.617</v>
      </c>
      <c r="P1216">
        <v>9.9</v>
      </c>
      <c r="Q1216">
        <v>22.678999999999998</v>
      </c>
      <c r="R1216">
        <v>59.106000000000002</v>
      </c>
      <c r="S1216">
        <v>40.893999999999998</v>
      </c>
      <c r="T1216">
        <v>392.89</v>
      </c>
      <c r="U1216">
        <v>297.04000000000002</v>
      </c>
      <c r="V1216">
        <v>16.5</v>
      </c>
      <c r="W1216">
        <v>-3</v>
      </c>
      <c r="X1216">
        <v>0.7</v>
      </c>
    </row>
    <row r="1217" spans="1:24" x14ac:dyDescent="0.25">
      <c r="A1217" t="s">
        <v>132</v>
      </c>
      <c r="B1217" t="s">
        <v>48</v>
      </c>
      <c r="C1217" t="s">
        <v>35</v>
      </c>
      <c r="D1217">
        <v>2024</v>
      </c>
      <c r="E1217">
        <v>345426566</v>
      </c>
      <c r="G1217">
        <v>4391.0200000000004</v>
      </c>
      <c r="H1217">
        <v>4404.83</v>
      </c>
      <c r="I1217">
        <v>303.75</v>
      </c>
      <c r="J1217">
        <v>451.9</v>
      </c>
      <c r="K1217">
        <v>1056.6300000000001</v>
      </c>
      <c r="L1217">
        <v>237.04</v>
      </c>
      <c r="M1217">
        <v>781.86</v>
      </c>
      <c r="N1217">
        <v>2552.5300000000002</v>
      </c>
      <c r="O1217">
        <v>6.9180000000000001</v>
      </c>
      <c r="P1217">
        <v>10.291</v>
      </c>
      <c r="Q1217">
        <v>24.062999999999999</v>
      </c>
      <c r="R1217">
        <v>58.131</v>
      </c>
      <c r="S1217">
        <v>41.869</v>
      </c>
      <c r="T1217">
        <v>383.78</v>
      </c>
      <c r="U1217">
        <v>340.04</v>
      </c>
      <c r="V1217">
        <v>27.1</v>
      </c>
      <c r="W1217">
        <v>7.3</v>
      </c>
      <c r="X1217">
        <v>9.5</v>
      </c>
    </row>
    <row r="1218" spans="1:24" x14ac:dyDescent="0.25">
      <c r="A1218" t="s">
        <v>132</v>
      </c>
      <c r="B1218" t="s">
        <v>48</v>
      </c>
      <c r="C1218" t="s">
        <v>35</v>
      </c>
      <c r="D1218">
        <v>2025</v>
      </c>
      <c r="E1218">
        <v>347275809</v>
      </c>
      <c r="G1218">
        <v>4519.79</v>
      </c>
      <c r="H1218">
        <v>4535.8100000000004</v>
      </c>
      <c r="I1218">
        <v>388.82</v>
      </c>
      <c r="J1218">
        <v>464.39</v>
      </c>
      <c r="K1218">
        <v>1158.8</v>
      </c>
      <c r="L1218">
        <v>241.7</v>
      </c>
      <c r="M1218">
        <v>784.78</v>
      </c>
      <c r="N1218">
        <v>2576.21</v>
      </c>
      <c r="O1218">
        <v>8.6029999999999998</v>
      </c>
      <c r="P1218">
        <v>10.275</v>
      </c>
      <c r="Q1218">
        <v>25.638000000000002</v>
      </c>
      <c r="R1218">
        <v>56.997999999999998</v>
      </c>
      <c r="S1218">
        <v>43.002000000000002</v>
      </c>
      <c r="T1218">
        <v>384.4</v>
      </c>
      <c r="U1218">
        <v>383.94</v>
      </c>
      <c r="V1218">
        <v>28</v>
      </c>
      <c r="W1218">
        <v>2.8</v>
      </c>
      <c r="X1218">
        <v>9.6999999999999993</v>
      </c>
    </row>
    <row r="1219" spans="1:24" x14ac:dyDescent="0.25">
      <c r="A1219" t="s">
        <v>135</v>
      </c>
      <c r="B1219" t="s">
        <v>41</v>
      </c>
      <c r="C1219" t="s">
        <v>27</v>
      </c>
      <c r="D1219">
        <v>2000</v>
      </c>
      <c r="E1219">
        <v>24787052</v>
      </c>
      <c r="F1219">
        <v>116875841754</v>
      </c>
      <c r="G1219">
        <v>46.86</v>
      </c>
      <c r="H1219">
        <v>48.14</v>
      </c>
      <c r="I1219">
        <v>0</v>
      </c>
      <c r="J1219">
        <v>0</v>
      </c>
      <c r="K1219">
        <v>3.53</v>
      </c>
      <c r="L1219">
        <v>3.53</v>
      </c>
      <c r="M1219">
        <v>0</v>
      </c>
      <c r="N1219">
        <v>43.33</v>
      </c>
      <c r="O1219">
        <v>0</v>
      </c>
      <c r="P1219">
        <v>0</v>
      </c>
      <c r="Q1219">
        <v>7.5330000000000004</v>
      </c>
      <c r="R1219">
        <v>92.466999999999999</v>
      </c>
      <c r="S1219">
        <v>7.5330000000000004</v>
      </c>
      <c r="T1219">
        <v>1103.5</v>
      </c>
      <c r="U1219">
        <v>0</v>
      </c>
    </row>
    <row r="1220" spans="1:24" x14ac:dyDescent="0.25">
      <c r="A1220" t="s">
        <v>135</v>
      </c>
      <c r="B1220" t="s">
        <v>41</v>
      </c>
      <c r="C1220" t="s">
        <v>27</v>
      </c>
      <c r="D1220">
        <v>2001</v>
      </c>
      <c r="E1220">
        <v>25090289</v>
      </c>
      <c r="F1220">
        <v>119890046302</v>
      </c>
      <c r="G1220">
        <v>47.96</v>
      </c>
      <c r="H1220">
        <v>48.45</v>
      </c>
      <c r="I1220">
        <v>0</v>
      </c>
      <c r="J1220">
        <v>0</v>
      </c>
      <c r="K1220">
        <v>4.3600000000000003</v>
      </c>
      <c r="L1220">
        <v>4.3600000000000003</v>
      </c>
      <c r="M1220">
        <v>0</v>
      </c>
      <c r="N1220">
        <v>43.6</v>
      </c>
      <c r="O1220">
        <v>0</v>
      </c>
      <c r="P1220">
        <v>0</v>
      </c>
      <c r="Q1220">
        <v>9.0909999999999993</v>
      </c>
      <c r="R1220">
        <v>90.909000000000006</v>
      </c>
      <c r="S1220">
        <v>9.0909999999999993</v>
      </c>
      <c r="T1220">
        <v>1085.07</v>
      </c>
      <c r="U1220">
        <v>0</v>
      </c>
      <c r="X1220">
        <v>23.5</v>
      </c>
    </row>
    <row r="1221" spans="1:24" x14ac:dyDescent="0.25">
      <c r="A1221" t="s">
        <v>135</v>
      </c>
      <c r="B1221" t="s">
        <v>41</v>
      </c>
      <c r="C1221" t="s">
        <v>27</v>
      </c>
      <c r="D1221">
        <v>2002</v>
      </c>
      <c r="E1221">
        <v>25399987</v>
      </c>
      <c r="F1221">
        <v>122757832356</v>
      </c>
      <c r="G1221">
        <v>49.4</v>
      </c>
      <c r="H1221">
        <v>49.32</v>
      </c>
      <c r="I1221">
        <v>0</v>
      </c>
      <c r="J1221">
        <v>0</v>
      </c>
      <c r="K1221">
        <v>6.02</v>
      </c>
      <c r="L1221">
        <v>6.02</v>
      </c>
      <c r="M1221">
        <v>0</v>
      </c>
      <c r="N1221">
        <v>43.38</v>
      </c>
      <c r="O1221">
        <v>0</v>
      </c>
      <c r="P1221">
        <v>0</v>
      </c>
      <c r="Q1221">
        <v>12.186</v>
      </c>
      <c r="R1221">
        <v>87.813999999999993</v>
      </c>
      <c r="S1221">
        <v>12.186</v>
      </c>
      <c r="T1221">
        <v>1049.3900000000001</v>
      </c>
      <c r="U1221">
        <v>0</v>
      </c>
      <c r="X1221">
        <v>38.1</v>
      </c>
    </row>
    <row r="1222" spans="1:24" x14ac:dyDescent="0.25">
      <c r="A1222" t="s">
        <v>135</v>
      </c>
      <c r="B1222" t="s">
        <v>41</v>
      </c>
      <c r="C1222" t="s">
        <v>27</v>
      </c>
      <c r="D1222">
        <v>2003</v>
      </c>
      <c r="E1222">
        <v>25711261</v>
      </c>
      <c r="F1222">
        <v>125924032405</v>
      </c>
      <c r="G1222">
        <v>48.74</v>
      </c>
      <c r="H1222">
        <v>48.73</v>
      </c>
      <c r="I1222">
        <v>0</v>
      </c>
      <c r="J1222">
        <v>0</v>
      </c>
      <c r="K1222">
        <v>8.17</v>
      </c>
      <c r="L1222">
        <v>8.17</v>
      </c>
      <c r="M1222">
        <v>0</v>
      </c>
      <c r="N1222">
        <v>40.57</v>
      </c>
      <c r="O1222">
        <v>0</v>
      </c>
      <c r="P1222">
        <v>0</v>
      </c>
      <c r="Q1222">
        <v>16.762</v>
      </c>
      <c r="R1222">
        <v>83.238</v>
      </c>
      <c r="S1222">
        <v>16.762</v>
      </c>
      <c r="T1222">
        <v>997.33</v>
      </c>
      <c r="U1222">
        <v>0</v>
      </c>
      <c r="X1222">
        <v>35.700000000000003</v>
      </c>
    </row>
    <row r="1223" spans="1:24" x14ac:dyDescent="0.25">
      <c r="A1223" t="s">
        <v>135</v>
      </c>
      <c r="B1223" t="s">
        <v>41</v>
      </c>
      <c r="C1223" t="s">
        <v>27</v>
      </c>
      <c r="D1223">
        <v>2004</v>
      </c>
      <c r="E1223">
        <v>26029350</v>
      </c>
      <c r="F1223">
        <v>133132057133</v>
      </c>
      <c r="G1223">
        <v>49.7</v>
      </c>
      <c r="H1223">
        <v>49.45</v>
      </c>
      <c r="I1223">
        <v>0</v>
      </c>
      <c r="J1223">
        <v>0</v>
      </c>
      <c r="K1223">
        <v>6.1</v>
      </c>
      <c r="L1223">
        <v>6.1</v>
      </c>
      <c r="M1223">
        <v>0</v>
      </c>
      <c r="N1223">
        <v>43.6</v>
      </c>
      <c r="O1223">
        <v>0</v>
      </c>
      <c r="P1223">
        <v>0</v>
      </c>
      <c r="Q1223">
        <v>12.273999999999999</v>
      </c>
      <c r="R1223">
        <v>87.725999999999999</v>
      </c>
      <c r="S1223">
        <v>12.273999999999999</v>
      </c>
      <c r="T1223">
        <v>1057.95</v>
      </c>
      <c r="U1223">
        <v>0</v>
      </c>
      <c r="X1223">
        <v>-25.3</v>
      </c>
    </row>
    <row r="1224" spans="1:24" x14ac:dyDescent="0.25">
      <c r="A1224" t="s">
        <v>135</v>
      </c>
      <c r="B1224" t="s">
        <v>41</v>
      </c>
      <c r="C1224" t="s">
        <v>27</v>
      </c>
      <c r="D1224">
        <v>2005</v>
      </c>
      <c r="E1224">
        <v>26356977</v>
      </c>
      <c r="F1224">
        <v>140239285325</v>
      </c>
      <c r="G1224">
        <v>47.67</v>
      </c>
      <c r="H1224">
        <v>47.39</v>
      </c>
      <c r="I1224">
        <v>0</v>
      </c>
      <c r="J1224">
        <v>0</v>
      </c>
      <c r="K1224">
        <v>8.93</v>
      </c>
      <c r="L1224">
        <v>8.93</v>
      </c>
      <c r="M1224">
        <v>0</v>
      </c>
      <c r="N1224">
        <v>38.74</v>
      </c>
      <c r="O1224">
        <v>0</v>
      </c>
      <c r="P1224">
        <v>0</v>
      </c>
      <c r="Q1224">
        <v>18.733000000000001</v>
      </c>
      <c r="R1224">
        <v>81.266999999999996</v>
      </c>
      <c r="S1224">
        <v>18.733000000000001</v>
      </c>
      <c r="T1224">
        <v>984.69</v>
      </c>
      <c r="U1224">
        <v>0</v>
      </c>
      <c r="X1224">
        <v>46.4</v>
      </c>
    </row>
    <row r="1225" spans="1:24" x14ac:dyDescent="0.25">
      <c r="A1225" t="s">
        <v>135</v>
      </c>
      <c r="B1225" t="s">
        <v>41</v>
      </c>
      <c r="C1225" t="s">
        <v>27</v>
      </c>
      <c r="D1225">
        <v>2006</v>
      </c>
      <c r="E1225">
        <v>26699046</v>
      </c>
      <c r="F1225">
        <v>148405074458</v>
      </c>
      <c r="G1225">
        <v>49.32</v>
      </c>
      <c r="H1225">
        <v>48.9</v>
      </c>
      <c r="I1225">
        <v>0</v>
      </c>
      <c r="J1225">
        <v>0</v>
      </c>
      <c r="K1225">
        <v>4.6500000000000004</v>
      </c>
      <c r="L1225">
        <v>4.6500000000000004</v>
      </c>
      <c r="M1225">
        <v>0</v>
      </c>
      <c r="N1225">
        <v>44.67</v>
      </c>
      <c r="O1225">
        <v>0</v>
      </c>
      <c r="P1225">
        <v>0</v>
      </c>
      <c r="Q1225">
        <v>9.4280000000000008</v>
      </c>
      <c r="R1225">
        <v>90.572000000000003</v>
      </c>
      <c r="S1225">
        <v>9.4280000000000008</v>
      </c>
      <c r="T1225">
        <v>1105.6400000000001</v>
      </c>
      <c r="U1225">
        <v>0</v>
      </c>
      <c r="X1225">
        <v>-47.9</v>
      </c>
    </row>
    <row r="1226" spans="1:24" x14ac:dyDescent="0.25">
      <c r="A1226" t="s">
        <v>135</v>
      </c>
      <c r="B1226" t="s">
        <v>41</v>
      </c>
      <c r="C1226" t="s">
        <v>27</v>
      </c>
      <c r="D1226">
        <v>2007</v>
      </c>
      <c r="E1226">
        <v>27076013</v>
      </c>
      <c r="F1226">
        <v>159993748436</v>
      </c>
      <c r="G1226">
        <v>49.02</v>
      </c>
      <c r="H1226">
        <v>50.01</v>
      </c>
      <c r="I1226">
        <v>0</v>
      </c>
      <c r="J1226">
        <v>0</v>
      </c>
      <c r="K1226">
        <v>4.67</v>
      </c>
      <c r="L1226">
        <v>4.67</v>
      </c>
      <c r="M1226">
        <v>0</v>
      </c>
      <c r="N1226">
        <v>44.35</v>
      </c>
      <c r="O1226">
        <v>0</v>
      </c>
      <c r="P1226">
        <v>0</v>
      </c>
      <c r="Q1226">
        <v>9.5269999999999992</v>
      </c>
      <c r="R1226">
        <v>90.472999999999999</v>
      </c>
      <c r="S1226">
        <v>9.5269999999999992</v>
      </c>
      <c r="T1226">
        <v>1114.8499999999999</v>
      </c>
      <c r="U1226">
        <v>0</v>
      </c>
      <c r="X1226">
        <v>0.4</v>
      </c>
    </row>
    <row r="1227" spans="1:24" x14ac:dyDescent="0.25">
      <c r="A1227" t="s">
        <v>135</v>
      </c>
      <c r="B1227" t="s">
        <v>41</v>
      </c>
      <c r="C1227" t="s">
        <v>27</v>
      </c>
      <c r="D1227">
        <v>2008</v>
      </c>
      <c r="E1227">
        <v>27494780</v>
      </c>
      <c r="F1227">
        <v>171692630381</v>
      </c>
      <c r="G1227">
        <v>50.22</v>
      </c>
      <c r="H1227">
        <v>50.32</v>
      </c>
      <c r="I1227">
        <v>0</v>
      </c>
      <c r="J1227">
        <v>0</v>
      </c>
      <c r="K1227">
        <v>4.49</v>
      </c>
      <c r="L1227">
        <v>4.49</v>
      </c>
      <c r="M1227">
        <v>0</v>
      </c>
      <c r="N1227">
        <v>45.73</v>
      </c>
      <c r="O1227">
        <v>0</v>
      </c>
      <c r="P1227">
        <v>0</v>
      </c>
      <c r="Q1227">
        <v>8.9410000000000007</v>
      </c>
      <c r="R1227">
        <v>91.058999999999997</v>
      </c>
      <c r="S1227">
        <v>8.9410000000000007</v>
      </c>
      <c r="T1227">
        <v>1129.83</v>
      </c>
      <c r="U1227">
        <v>0</v>
      </c>
      <c r="X1227">
        <v>-3.9</v>
      </c>
    </row>
    <row r="1228" spans="1:24" x14ac:dyDescent="0.25">
      <c r="A1228" t="s">
        <v>135</v>
      </c>
      <c r="B1228" t="s">
        <v>41</v>
      </c>
      <c r="C1228" t="s">
        <v>27</v>
      </c>
      <c r="D1228">
        <v>2009</v>
      </c>
      <c r="E1228">
        <v>27939333</v>
      </c>
      <c r="F1228">
        <v>182715813772</v>
      </c>
      <c r="G1228">
        <v>50.1</v>
      </c>
      <c r="H1228">
        <v>50.05</v>
      </c>
      <c r="I1228">
        <v>0</v>
      </c>
      <c r="J1228">
        <v>0</v>
      </c>
      <c r="K1228">
        <v>6.48</v>
      </c>
      <c r="L1228">
        <v>6.48</v>
      </c>
      <c r="M1228">
        <v>0</v>
      </c>
      <c r="N1228">
        <v>43.62</v>
      </c>
      <c r="O1228">
        <v>0</v>
      </c>
      <c r="P1228">
        <v>0</v>
      </c>
      <c r="Q1228">
        <v>12.933999999999999</v>
      </c>
      <c r="R1228">
        <v>87.066000000000003</v>
      </c>
      <c r="S1228">
        <v>12.933999999999999</v>
      </c>
      <c r="T1228">
        <v>1085.03</v>
      </c>
      <c r="U1228">
        <v>0</v>
      </c>
      <c r="X1228">
        <v>44.3</v>
      </c>
    </row>
    <row r="1229" spans="1:24" x14ac:dyDescent="0.25">
      <c r="A1229" t="s">
        <v>135</v>
      </c>
      <c r="B1229" t="s">
        <v>41</v>
      </c>
      <c r="C1229" t="s">
        <v>27</v>
      </c>
      <c r="D1229">
        <v>2010</v>
      </c>
      <c r="E1229">
        <v>28385509</v>
      </c>
      <c r="F1229">
        <v>195160171269</v>
      </c>
      <c r="G1229">
        <v>51.97</v>
      </c>
      <c r="H1229">
        <v>50.8</v>
      </c>
      <c r="I1229">
        <v>0</v>
      </c>
      <c r="J1229">
        <v>0</v>
      </c>
      <c r="K1229">
        <v>8.19</v>
      </c>
      <c r="L1229">
        <v>8.19</v>
      </c>
      <c r="M1229">
        <v>0</v>
      </c>
      <c r="N1229">
        <v>43.78</v>
      </c>
      <c r="O1229">
        <v>0</v>
      </c>
      <c r="P1229">
        <v>0</v>
      </c>
      <c r="Q1229">
        <v>15.759</v>
      </c>
      <c r="R1229">
        <v>84.241</v>
      </c>
      <c r="S1229">
        <v>15.759</v>
      </c>
      <c r="T1229">
        <v>1053.69</v>
      </c>
      <c r="U1229">
        <v>0</v>
      </c>
      <c r="X1229">
        <v>26.4</v>
      </c>
    </row>
    <row r="1230" spans="1:24" x14ac:dyDescent="0.25">
      <c r="A1230" t="s">
        <v>135</v>
      </c>
      <c r="B1230" t="s">
        <v>41</v>
      </c>
      <c r="C1230" t="s">
        <v>27</v>
      </c>
      <c r="D1230">
        <v>2011</v>
      </c>
      <c r="E1230">
        <v>28823194</v>
      </c>
      <c r="F1230">
        <v>208063390835</v>
      </c>
      <c r="G1230">
        <v>52.8</v>
      </c>
      <c r="H1230">
        <v>52.07</v>
      </c>
      <c r="I1230">
        <v>0</v>
      </c>
      <c r="J1230">
        <v>0</v>
      </c>
      <c r="K1230">
        <v>5.7</v>
      </c>
      <c r="L1230">
        <v>5.7</v>
      </c>
      <c r="M1230">
        <v>0</v>
      </c>
      <c r="N1230">
        <v>47.1</v>
      </c>
      <c r="O1230">
        <v>0</v>
      </c>
      <c r="P1230">
        <v>0</v>
      </c>
      <c r="Q1230">
        <v>10.795</v>
      </c>
      <c r="R1230">
        <v>89.204999999999998</v>
      </c>
      <c r="S1230">
        <v>10.795</v>
      </c>
      <c r="T1230">
        <v>1118.3699999999999</v>
      </c>
      <c r="U1230">
        <v>0</v>
      </c>
      <c r="X1230">
        <v>-30.4</v>
      </c>
    </row>
    <row r="1231" spans="1:24" x14ac:dyDescent="0.25">
      <c r="A1231" t="s">
        <v>135</v>
      </c>
      <c r="B1231" t="s">
        <v>41</v>
      </c>
      <c r="C1231" t="s">
        <v>27</v>
      </c>
      <c r="D1231">
        <v>2012</v>
      </c>
      <c r="E1231">
        <v>29261908</v>
      </c>
      <c r="F1231">
        <v>222840047403</v>
      </c>
      <c r="G1231">
        <v>53</v>
      </c>
      <c r="H1231">
        <v>52.33</v>
      </c>
      <c r="I1231">
        <v>0</v>
      </c>
      <c r="J1231">
        <v>0</v>
      </c>
      <c r="K1231">
        <v>6.65</v>
      </c>
      <c r="L1231">
        <v>6.65</v>
      </c>
      <c r="M1231">
        <v>0</v>
      </c>
      <c r="N1231">
        <v>46.35</v>
      </c>
      <c r="O1231">
        <v>0</v>
      </c>
      <c r="P1231">
        <v>0</v>
      </c>
      <c r="Q1231">
        <v>12.547000000000001</v>
      </c>
      <c r="R1231">
        <v>87.453000000000003</v>
      </c>
      <c r="S1231">
        <v>12.547000000000001</v>
      </c>
      <c r="T1231">
        <v>1098.3</v>
      </c>
      <c r="U1231">
        <v>0</v>
      </c>
      <c r="X1231">
        <v>16.7</v>
      </c>
    </row>
    <row r="1232" spans="1:24" x14ac:dyDescent="0.25">
      <c r="A1232" t="s">
        <v>135</v>
      </c>
      <c r="B1232" t="s">
        <v>41</v>
      </c>
      <c r="C1232" t="s">
        <v>27</v>
      </c>
      <c r="D1232">
        <v>2013</v>
      </c>
      <c r="E1232">
        <v>29724065</v>
      </c>
      <c r="F1232">
        <v>239100684823</v>
      </c>
      <c r="G1232">
        <v>54.61</v>
      </c>
      <c r="H1232">
        <v>53.73</v>
      </c>
      <c r="I1232">
        <v>0</v>
      </c>
      <c r="J1232">
        <v>0</v>
      </c>
      <c r="K1232">
        <v>5.7</v>
      </c>
      <c r="L1232">
        <v>5.7</v>
      </c>
      <c r="M1232">
        <v>0</v>
      </c>
      <c r="N1232">
        <v>48.91</v>
      </c>
      <c r="O1232">
        <v>0</v>
      </c>
      <c r="P1232">
        <v>0</v>
      </c>
      <c r="Q1232">
        <v>10.438000000000001</v>
      </c>
      <c r="R1232">
        <v>89.561999999999998</v>
      </c>
      <c r="S1232">
        <v>10.438000000000001</v>
      </c>
      <c r="T1232">
        <v>1125.98</v>
      </c>
      <c r="U1232">
        <v>0</v>
      </c>
      <c r="X1232">
        <v>-14.3</v>
      </c>
    </row>
    <row r="1233" spans="1:25" x14ac:dyDescent="0.25">
      <c r="A1233" t="s">
        <v>135</v>
      </c>
      <c r="B1233" t="s">
        <v>41</v>
      </c>
      <c r="C1233" t="s">
        <v>27</v>
      </c>
      <c r="D1233">
        <v>2014</v>
      </c>
      <c r="E1233">
        <v>30222994</v>
      </c>
      <c r="F1233">
        <v>255536474727</v>
      </c>
      <c r="G1233">
        <v>55.75</v>
      </c>
      <c r="H1233">
        <v>54.97</v>
      </c>
      <c r="I1233">
        <v>0</v>
      </c>
      <c r="J1233">
        <v>0</v>
      </c>
      <c r="K1233">
        <v>6.07</v>
      </c>
      <c r="L1233">
        <v>6.07</v>
      </c>
      <c r="M1233">
        <v>0</v>
      </c>
      <c r="N1233">
        <v>49.68</v>
      </c>
      <c r="O1233">
        <v>0</v>
      </c>
      <c r="P1233">
        <v>0</v>
      </c>
      <c r="Q1233">
        <v>10.888</v>
      </c>
      <c r="R1233">
        <v>89.111999999999995</v>
      </c>
      <c r="S1233">
        <v>10.888</v>
      </c>
      <c r="T1233">
        <v>1121.08</v>
      </c>
      <c r="U1233">
        <v>0</v>
      </c>
      <c r="X1233">
        <v>6.5</v>
      </c>
    </row>
    <row r="1234" spans="1:25" x14ac:dyDescent="0.25">
      <c r="A1234" t="s">
        <v>135</v>
      </c>
      <c r="B1234" t="s">
        <v>41</v>
      </c>
      <c r="C1234" t="s">
        <v>27</v>
      </c>
      <c r="D1234">
        <v>2015</v>
      </c>
      <c r="E1234">
        <v>30749349</v>
      </c>
      <c r="F1234">
        <v>273983640646</v>
      </c>
      <c r="G1234">
        <v>57.41</v>
      </c>
      <c r="H1234">
        <v>56.12</v>
      </c>
      <c r="I1234">
        <v>0</v>
      </c>
      <c r="J1234">
        <v>0</v>
      </c>
      <c r="K1234">
        <v>6.82</v>
      </c>
      <c r="L1234">
        <v>6.82</v>
      </c>
      <c r="M1234">
        <v>0</v>
      </c>
      <c r="N1234">
        <v>50.59</v>
      </c>
      <c r="O1234">
        <v>0</v>
      </c>
      <c r="P1234">
        <v>0</v>
      </c>
      <c r="Q1234">
        <v>11.879</v>
      </c>
      <c r="R1234">
        <v>88.120999999999995</v>
      </c>
      <c r="S1234">
        <v>11.879</v>
      </c>
      <c r="T1234">
        <v>1111.6500000000001</v>
      </c>
      <c r="U1234">
        <v>0</v>
      </c>
      <c r="X1234">
        <v>12.4</v>
      </c>
    </row>
    <row r="1235" spans="1:25" x14ac:dyDescent="0.25">
      <c r="A1235" t="s">
        <v>135</v>
      </c>
      <c r="B1235" t="s">
        <v>41</v>
      </c>
      <c r="C1235" t="s">
        <v>27</v>
      </c>
      <c r="D1235">
        <v>2016</v>
      </c>
      <c r="E1235">
        <v>31284565</v>
      </c>
      <c r="F1235">
        <v>290236358613</v>
      </c>
      <c r="G1235">
        <v>58.71</v>
      </c>
      <c r="H1235">
        <v>57.21</v>
      </c>
      <c r="I1235">
        <v>0</v>
      </c>
      <c r="J1235">
        <v>0</v>
      </c>
      <c r="K1235">
        <v>6.86</v>
      </c>
      <c r="L1235">
        <v>6.86</v>
      </c>
      <c r="M1235">
        <v>0</v>
      </c>
      <c r="N1235">
        <v>51.85</v>
      </c>
      <c r="O1235">
        <v>0</v>
      </c>
      <c r="P1235">
        <v>0</v>
      </c>
      <c r="Q1235">
        <v>11.685</v>
      </c>
      <c r="R1235">
        <v>88.314999999999998</v>
      </c>
      <c r="S1235">
        <v>11.685</v>
      </c>
      <c r="T1235">
        <v>1114.1199999999999</v>
      </c>
      <c r="U1235">
        <v>0</v>
      </c>
      <c r="X1235">
        <v>0.6</v>
      </c>
    </row>
    <row r="1236" spans="1:25" x14ac:dyDescent="0.25">
      <c r="A1236" t="s">
        <v>135</v>
      </c>
      <c r="B1236" t="s">
        <v>41</v>
      </c>
      <c r="C1236" t="s">
        <v>27</v>
      </c>
      <c r="D1236">
        <v>2017</v>
      </c>
      <c r="E1236">
        <v>31819172</v>
      </c>
      <c r="F1236">
        <v>302992216928</v>
      </c>
      <c r="G1236">
        <v>60.84</v>
      </c>
      <c r="H1236">
        <v>60.2</v>
      </c>
      <c r="I1236">
        <v>0.01</v>
      </c>
      <c r="J1236">
        <v>0</v>
      </c>
      <c r="K1236">
        <v>7.94</v>
      </c>
      <c r="L1236">
        <v>7.93</v>
      </c>
      <c r="M1236">
        <v>0</v>
      </c>
      <c r="N1236">
        <v>52.9</v>
      </c>
      <c r="O1236">
        <v>1.6E-2</v>
      </c>
      <c r="P1236">
        <v>0</v>
      </c>
      <c r="Q1236">
        <v>13.051</v>
      </c>
      <c r="R1236">
        <v>86.948999999999998</v>
      </c>
      <c r="S1236">
        <v>13.051</v>
      </c>
      <c r="T1236">
        <v>1096.98</v>
      </c>
      <c r="U1236">
        <v>0</v>
      </c>
      <c r="X1236">
        <v>15.7</v>
      </c>
    </row>
    <row r="1237" spans="1:25" x14ac:dyDescent="0.25">
      <c r="A1237" t="s">
        <v>135</v>
      </c>
      <c r="B1237" t="s">
        <v>41</v>
      </c>
      <c r="C1237" t="s">
        <v>27</v>
      </c>
      <c r="D1237">
        <v>2018</v>
      </c>
      <c r="E1237">
        <v>32373489</v>
      </c>
      <c r="F1237">
        <v>320808179800</v>
      </c>
      <c r="G1237">
        <v>63.15</v>
      </c>
      <c r="H1237">
        <v>62.76</v>
      </c>
      <c r="I1237">
        <v>0.01</v>
      </c>
      <c r="J1237">
        <v>0</v>
      </c>
      <c r="K1237">
        <v>5.91</v>
      </c>
      <c r="L1237">
        <v>5.9</v>
      </c>
      <c r="M1237">
        <v>0</v>
      </c>
      <c r="N1237">
        <v>57.24</v>
      </c>
      <c r="O1237">
        <v>1.6E-2</v>
      </c>
      <c r="P1237">
        <v>0</v>
      </c>
      <c r="Q1237">
        <v>9.359</v>
      </c>
      <c r="R1237">
        <v>90.641000000000005</v>
      </c>
      <c r="S1237">
        <v>9.359</v>
      </c>
      <c r="T1237">
        <v>1139.19</v>
      </c>
      <c r="U1237">
        <v>0</v>
      </c>
      <c r="V1237">
        <v>0</v>
      </c>
      <c r="X1237">
        <v>-25.6</v>
      </c>
    </row>
    <row r="1238" spans="1:25" x14ac:dyDescent="0.25">
      <c r="A1238" t="s">
        <v>135</v>
      </c>
      <c r="B1238" t="s">
        <v>41</v>
      </c>
      <c r="C1238" t="s">
        <v>27</v>
      </c>
      <c r="D1238">
        <v>2019</v>
      </c>
      <c r="E1238">
        <v>32964700</v>
      </c>
      <c r="F1238">
        <v>339998944961</v>
      </c>
      <c r="G1238">
        <v>63.56</v>
      </c>
      <c r="H1238">
        <v>64.87</v>
      </c>
      <c r="I1238">
        <v>0.01</v>
      </c>
      <c r="J1238">
        <v>0</v>
      </c>
      <c r="K1238">
        <v>6.47</v>
      </c>
      <c r="L1238">
        <v>6.46</v>
      </c>
      <c r="M1238">
        <v>0</v>
      </c>
      <c r="N1238">
        <v>57.09</v>
      </c>
      <c r="O1238">
        <v>1.6E-2</v>
      </c>
      <c r="P1238">
        <v>0</v>
      </c>
      <c r="Q1238">
        <v>10.179</v>
      </c>
      <c r="R1238">
        <v>89.820999999999998</v>
      </c>
      <c r="S1238">
        <v>10.179</v>
      </c>
      <c r="T1238">
        <v>1119.26</v>
      </c>
      <c r="U1238">
        <v>0</v>
      </c>
      <c r="V1238">
        <v>0</v>
      </c>
      <c r="X1238">
        <v>9.5</v>
      </c>
    </row>
    <row r="1239" spans="1:25" x14ac:dyDescent="0.25">
      <c r="A1239" t="s">
        <v>135</v>
      </c>
      <c r="B1239" t="s">
        <v>41</v>
      </c>
      <c r="C1239" t="s">
        <v>27</v>
      </c>
      <c r="D1239">
        <v>2020</v>
      </c>
      <c r="E1239">
        <v>33586373</v>
      </c>
      <c r="F1239">
        <v>346785285756</v>
      </c>
      <c r="G1239">
        <v>66.53</v>
      </c>
      <c r="H1239">
        <v>69.05</v>
      </c>
      <c r="I1239">
        <v>0.01</v>
      </c>
      <c r="J1239">
        <v>0</v>
      </c>
      <c r="K1239">
        <v>5.01</v>
      </c>
      <c r="L1239">
        <v>5</v>
      </c>
      <c r="M1239">
        <v>0</v>
      </c>
      <c r="N1239">
        <v>61.52</v>
      </c>
      <c r="O1239">
        <v>1.4999999999999999E-2</v>
      </c>
      <c r="P1239">
        <v>0</v>
      </c>
      <c r="Q1239">
        <v>7.53</v>
      </c>
      <c r="R1239">
        <v>92.47</v>
      </c>
      <c r="S1239">
        <v>7.53</v>
      </c>
      <c r="T1239">
        <v>1149.1099999999999</v>
      </c>
      <c r="U1239">
        <v>0</v>
      </c>
      <c r="V1239">
        <v>0</v>
      </c>
      <c r="X1239">
        <v>-22.6</v>
      </c>
    </row>
    <row r="1240" spans="1:25" x14ac:dyDescent="0.25">
      <c r="A1240" t="s">
        <v>135</v>
      </c>
      <c r="B1240" t="s">
        <v>41</v>
      </c>
      <c r="C1240" t="s">
        <v>27</v>
      </c>
      <c r="D1240">
        <v>2021</v>
      </c>
      <c r="E1240">
        <v>34243696</v>
      </c>
      <c r="F1240">
        <v>372457828275</v>
      </c>
      <c r="G1240">
        <v>71.44</v>
      </c>
      <c r="H1240">
        <v>75.03</v>
      </c>
      <c r="I1240">
        <v>0.05</v>
      </c>
      <c r="J1240">
        <v>0</v>
      </c>
      <c r="K1240">
        <v>5.0199999999999996</v>
      </c>
      <c r="L1240">
        <v>4.97</v>
      </c>
      <c r="M1240">
        <v>0</v>
      </c>
      <c r="N1240">
        <v>66.42</v>
      </c>
      <c r="O1240">
        <v>7.0000000000000007E-2</v>
      </c>
      <c r="P1240">
        <v>0</v>
      </c>
      <c r="Q1240">
        <v>7.0270000000000001</v>
      </c>
      <c r="R1240">
        <v>92.972999999999999</v>
      </c>
      <c r="S1240">
        <v>7.0270000000000001</v>
      </c>
      <c r="T1240">
        <v>1150.48</v>
      </c>
      <c r="U1240">
        <v>0.02</v>
      </c>
      <c r="V1240">
        <v>400</v>
      </c>
      <c r="X1240">
        <v>0.2</v>
      </c>
      <c r="Y1240" t="s">
        <v>136</v>
      </c>
    </row>
    <row r="1241" spans="1:25" x14ac:dyDescent="0.25">
      <c r="A1241" t="s">
        <v>135</v>
      </c>
      <c r="B1241" t="s">
        <v>41</v>
      </c>
      <c r="C1241" t="s">
        <v>27</v>
      </c>
      <c r="D1241">
        <v>2022</v>
      </c>
      <c r="E1241">
        <v>34938953</v>
      </c>
      <c r="F1241">
        <v>393572464308</v>
      </c>
      <c r="G1241">
        <v>75.069999999999993</v>
      </c>
      <c r="H1241">
        <v>77.400000000000006</v>
      </c>
      <c r="I1241">
        <v>0.44</v>
      </c>
      <c r="J1241">
        <v>0</v>
      </c>
      <c r="K1241">
        <v>6.92</v>
      </c>
      <c r="L1241">
        <v>6.48</v>
      </c>
      <c r="M1241">
        <v>0</v>
      </c>
      <c r="N1241">
        <v>68.150000000000006</v>
      </c>
      <c r="O1241">
        <v>0.58599999999999997</v>
      </c>
      <c r="P1241">
        <v>0</v>
      </c>
      <c r="Q1241">
        <v>9.218</v>
      </c>
      <c r="R1241">
        <v>90.781999999999996</v>
      </c>
      <c r="S1241">
        <v>9.218</v>
      </c>
      <c r="T1241">
        <v>1121.3499999999999</v>
      </c>
      <c r="U1241">
        <v>0.2</v>
      </c>
      <c r="V1241">
        <v>780</v>
      </c>
      <c r="X1241">
        <v>37.799999999999997</v>
      </c>
    </row>
    <row r="1242" spans="1:25" x14ac:dyDescent="0.25">
      <c r="A1242" t="s">
        <v>135</v>
      </c>
      <c r="B1242" t="s">
        <v>41</v>
      </c>
      <c r="C1242" t="s">
        <v>27</v>
      </c>
      <c r="D1242">
        <v>2023</v>
      </c>
      <c r="E1242">
        <v>35652311</v>
      </c>
      <c r="G1242">
        <v>76.8</v>
      </c>
      <c r="H1242">
        <v>79.73</v>
      </c>
      <c r="I1242">
        <v>0.45</v>
      </c>
      <c r="J1242">
        <v>0.55000000000000004</v>
      </c>
      <c r="K1242">
        <v>7.6</v>
      </c>
      <c r="L1242">
        <v>6.6</v>
      </c>
      <c r="M1242">
        <v>0</v>
      </c>
      <c r="N1242">
        <v>69.2</v>
      </c>
      <c r="O1242">
        <v>0.58599999999999997</v>
      </c>
      <c r="P1242">
        <v>0.71599999999999997</v>
      </c>
      <c r="Q1242">
        <v>9.8960000000000008</v>
      </c>
      <c r="R1242">
        <v>90.103999999999999</v>
      </c>
      <c r="S1242">
        <v>9.8960000000000008</v>
      </c>
      <c r="T1242">
        <v>1113.28</v>
      </c>
      <c r="U1242">
        <v>0.45</v>
      </c>
      <c r="V1242">
        <v>2.2999999999999998</v>
      </c>
      <c r="X1242">
        <v>9.8000000000000007</v>
      </c>
    </row>
    <row r="1243" spans="1:25" x14ac:dyDescent="0.25">
      <c r="A1243" t="s">
        <v>135</v>
      </c>
      <c r="B1243" t="s">
        <v>41</v>
      </c>
      <c r="C1243" t="s">
        <v>27</v>
      </c>
      <c r="D1243">
        <v>2024</v>
      </c>
      <c r="E1243">
        <v>36361859</v>
      </c>
      <c r="G1243">
        <v>81.5</v>
      </c>
      <c r="H1243">
        <v>84.43</v>
      </c>
      <c r="I1243">
        <v>2.9</v>
      </c>
      <c r="J1243">
        <v>1.9</v>
      </c>
      <c r="K1243">
        <v>13</v>
      </c>
      <c r="L1243">
        <v>8.1999999999999993</v>
      </c>
      <c r="M1243">
        <v>0</v>
      </c>
      <c r="N1243">
        <v>68.5</v>
      </c>
      <c r="O1243">
        <v>3.5579999999999998</v>
      </c>
      <c r="P1243">
        <v>2.331</v>
      </c>
      <c r="Q1243">
        <v>15.951000000000001</v>
      </c>
      <c r="R1243">
        <v>84.049000000000007</v>
      </c>
      <c r="S1243">
        <v>15.951000000000001</v>
      </c>
      <c r="T1243">
        <v>1040.1199999999999</v>
      </c>
      <c r="U1243">
        <v>2.16</v>
      </c>
      <c r="V1243">
        <v>544.4</v>
      </c>
      <c r="W1243">
        <v>245.5</v>
      </c>
      <c r="X1243">
        <v>71.099999999999994</v>
      </c>
    </row>
    <row r="1244" spans="1:25" x14ac:dyDescent="0.25">
      <c r="A1244" t="s">
        <v>135</v>
      </c>
      <c r="B1244" t="s">
        <v>41</v>
      </c>
      <c r="C1244" t="s">
        <v>27</v>
      </c>
      <c r="D1244">
        <v>2025</v>
      </c>
      <c r="E1244">
        <v>37053428</v>
      </c>
      <c r="G1244">
        <v>86.7</v>
      </c>
      <c r="H1244">
        <v>89.63</v>
      </c>
      <c r="I1244">
        <v>6.5</v>
      </c>
      <c r="J1244">
        <v>4</v>
      </c>
      <c r="K1244">
        <v>16.8</v>
      </c>
      <c r="L1244">
        <v>6.3</v>
      </c>
      <c r="M1244">
        <v>0</v>
      </c>
      <c r="N1244">
        <v>69.900000000000006</v>
      </c>
      <c r="O1244">
        <v>7.4969999999999999</v>
      </c>
      <c r="P1244">
        <v>4.6139999999999999</v>
      </c>
      <c r="Q1244">
        <v>19.376999999999999</v>
      </c>
      <c r="R1244">
        <v>80.623000000000005</v>
      </c>
      <c r="S1244">
        <v>19.376999999999999</v>
      </c>
      <c r="T1244">
        <v>1000</v>
      </c>
      <c r="U1244">
        <v>4.72</v>
      </c>
      <c r="V1244">
        <v>124.1</v>
      </c>
      <c r="W1244">
        <v>110.5</v>
      </c>
      <c r="X1244">
        <v>29.2</v>
      </c>
    </row>
    <row r="1245" spans="1:25" x14ac:dyDescent="0.25">
      <c r="A1245" t="s">
        <v>137</v>
      </c>
      <c r="B1245" t="s">
        <v>30</v>
      </c>
      <c r="C1245" t="s">
        <v>31</v>
      </c>
      <c r="D1245">
        <v>2000</v>
      </c>
      <c r="E1245">
        <v>24526707</v>
      </c>
      <c r="F1245">
        <v>330236189305</v>
      </c>
      <c r="G1245">
        <v>85.27</v>
      </c>
      <c r="H1245">
        <v>85.22</v>
      </c>
      <c r="I1245">
        <v>0</v>
      </c>
      <c r="J1245">
        <v>0</v>
      </c>
      <c r="K1245">
        <v>62.89</v>
      </c>
      <c r="L1245">
        <v>62.89</v>
      </c>
      <c r="M1245">
        <v>0</v>
      </c>
      <c r="N1245">
        <v>22.38</v>
      </c>
      <c r="O1245">
        <v>0</v>
      </c>
      <c r="P1245">
        <v>0</v>
      </c>
      <c r="Q1245">
        <v>73.754000000000005</v>
      </c>
      <c r="R1245">
        <v>26.245999999999999</v>
      </c>
      <c r="S1245">
        <v>73.754000000000005</v>
      </c>
      <c r="T1245">
        <v>212.74</v>
      </c>
      <c r="U1245">
        <v>0</v>
      </c>
    </row>
    <row r="1246" spans="1:25" x14ac:dyDescent="0.25">
      <c r="A1246" t="s">
        <v>137</v>
      </c>
      <c r="B1246" t="s">
        <v>30</v>
      </c>
      <c r="C1246" t="s">
        <v>31</v>
      </c>
      <c r="D1246">
        <v>2001</v>
      </c>
      <c r="E1246">
        <v>24979934</v>
      </c>
      <c r="F1246">
        <v>343312598582</v>
      </c>
      <c r="G1246">
        <v>90.11</v>
      </c>
      <c r="H1246">
        <v>90.08</v>
      </c>
      <c r="I1246">
        <v>0</v>
      </c>
      <c r="J1246">
        <v>0</v>
      </c>
      <c r="K1246">
        <v>60.44</v>
      </c>
      <c r="L1246">
        <v>60.44</v>
      </c>
      <c r="M1246">
        <v>0</v>
      </c>
      <c r="N1246">
        <v>29.67</v>
      </c>
      <c r="O1246">
        <v>0</v>
      </c>
      <c r="P1246">
        <v>0</v>
      </c>
      <c r="Q1246">
        <v>67.073999999999998</v>
      </c>
      <c r="R1246">
        <v>32.926000000000002</v>
      </c>
      <c r="S1246">
        <v>67.073999999999998</v>
      </c>
      <c r="T1246">
        <v>261.57</v>
      </c>
      <c r="U1246">
        <v>0</v>
      </c>
      <c r="X1246">
        <v>-3.9</v>
      </c>
    </row>
    <row r="1247" spans="1:25" x14ac:dyDescent="0.25">
      <c r="A1247" t="s">
        <v>137</v>
      </c>
      <c r="B1247" t="s">
        <v>30</v>
      </c>
      <c r="C1247" t="s">
        <v>31</v>
      </c>
      <c r="D1247">
        <v>2002</v>
      </c>
      <c r="E1247">
        <v>25435674</v>
      </c>
      <c r="F1247">
        <v>314003719638</v>
      </c>
      <c r="G1247">
        <v>91.85</v>
      </c>
      <c r="H1247">
        <v>91.99</v>
      </c>
      <c r="I1247">
        <v>0</v>
      </c>
      <c r="J1247">
        <v>0</v>
      </c>
      <c r="K1247">
        <v>59.53</v>
      </c>
      <c r="L1247">
        <v>59.53</v>
      </c>
      <c r="M1247">
        <v>0</v>
      </c>
      <c r="N1247">
        <v>32.32</v>
      </c>
      <c r="O1247">
        <v>0</v>
      </c>
      <c r="P1247">
        <v>0</v>
      </c>
      <c r="Q1247">
        <v>64.811999999999998</v>
      </c>
      <c r="R1247">
        <v>35.188000000000002</v>
      </c>
      <c r="S1247">
        <v>64.811999999999998</v>
      </c>
      <c r="T1247">
        <v>274.14</v>
      </c>
      <c r="U1247">
        <v>0</v>
      </c>
      <c r="X1247">
        <v>-1.5</v>
      </c>
    </row>
    <row r="1248" spans="1:25" x14ac:dyDescent="0.25">
      <c r="A1248" t="s">
        <v>137</v>
      </c>
      <c r="B1248" t="s">
        <v>30</v>
      </c>
      <c r="C1248" t="s">
        <v>31</v>
      </c>
      <c r="D1248">
        <v>2003</v>
      </c>
      <c r="E1248">
        <v>25892710</v>
      </c>
      <c r="F1248">
        <v>291333920302</v>
      </c>
      <c r="G1248">
        <v>91.95</v>
      </c>
      <c r="H1248">
        <v>91.54</v>
      </c>
      <c r="I1248">
        <v>0</v>
      </c>
      <c r="J1248">
        <v>0</v>
      </c>
      <c r="K1248">
        <v>60.53</v>
      </c>
      <c r="L1248">
        <v>60.53</v>
      </c>
      <c r="M1248">
        <v>0</v>
      </c>
      <c r="N1248">
        <v>31.42</v>
      </c>
      <c r="O1248">
        <v>0</v>
      </c>
      <c r="P1248">
        <v>0</v>
      </c>
      <c r="Q1248">
        <v>65.828999999999994</v>
      </c>
      <c r="R1248">
        <v>34.170999999999999</v>
      </c>
      <c r="S1248">
        <v>65.828999999999994</v>
      </c>
      <c r="T1248">
        <v>263.73</v>
      </c>
      <c r="U1248">
        <v>0</v>
      </c>
      <c r="X1248">
        <v>1.7</v>
      </c>
    </row>
    <row r="1249" spans="1:25" x14ac:dyDescent="0.25">
      <c r="A1249" t="s">
        <v>137</v>
      </c>
      <c r="B1249" t="s">
        <v>30</v>
      </c>
      <c r="C1249" t="s">
        <v>31</v>
      </c>
      <c r="D1249">
        <v>2004</v>
      </c>
      <c r="E1249">
        <v>26340843</v>
      </c>
      <c r="F1249">
        <v>346317458927</v>
      </c>
      <c r="G1249">
        <v>98.55</v>
      </c>
      <c r="H1249">
        <v>98.93</v>
      </c>
      <c r="I1249">
        <v>0</v>
      </c>
      <c r="J1249">
        <v>0</v>
      </c>
      <c r="K1249">
        <v>70.069999999999993</v>
      </c>
      <c r="L1249">
        <v>70.069999999999993</v>
      </c>
      <c r="M1249">
        <v>0</v>
      </c>
      <c r="N1249">
        <v>28.48</v>
      </c>
      <c r="O1249">
        <v>0</v>
      </c>
      <c r="P1249">
        <v>0</v>
      </c>
      <c r="Q1249">
        <v>71.100999999999999</v>
      </c>
      <c r="R1249">
        <v>28.899000000000001</v>
      </c>
      <c r="S1249">
        <v>71.100999999999999</v>
      </c>
      <c r="T1249">
        <v>228.62</v>
      </c>
      <c r="U1249">
        <v>0</v>
      </c>
      <c r="X1249">
        <v>15.8</v>
      </c>
    </row>
    <row r="1250" spans="1:25" x14ac:dyDescent="0.25">
      <c r="A1250" t="s">
        <v>137</v>
      </c>
      <c r="B1250" t="s">
        <v>30</v>
      </c>
      <c r="C1250" t="s">
        <v>31</v>
      </c>
      <c r="D1250">
        <v>2005</v>
      </c>
      <c r="E1250">
        <v>26785797</v>
      </c>
      <c r="F1250">
        <v>383570387195</v>
      </c>
      <c r="G1250">
        <v>105.39</v>
      </c>
      <c r="H1250">
        <v>104.81</v>
      </c>
      <c r="I1250">
        <v>0</v>
      </c>
      <c r="J1250">
        <v>0</v>
      </c>
      <c r="K1250">
        <v>77.23</v>
      </c>
      <c r="L1250">
        <v>77.23</v>
      </c>
      <c r="M1250">
        <v>0</v>
      </c>
      <c r="N1250">
        <v>28.16</v>
      </c>
      <c r="O1250">
        <v>0</v>
      </c>
      <c r="P1250">
        <v>0</v>
      </c>
      <c r="Q1250">
        <v>73.28</v>
      </c>
      <c r="R1250">
        <v>26.72</v>
      </c>
      <c r="S1250">
        <v>73.28</v>
      </c>
      <c r="T1250">
        <v>211.22</v>
      </c>
      <c r="U1250">
        <v>0</v>
      </c>
      <c r="X1250">
        <v>10.199999999999999</v>
      </c>
    </row>
    <row r="1251" spans="1:25" x14ac:dyDescent="0.25">
      <c r="A1251" t="s">
        <v>137</v>
      </c>
      <c r="B1251" t="s">
        <v>30</v>
      </c>
      <c r="C1251" t="s">
        <v>31</v>
      </c>
      <c r="D1251">
        <v>2006</v>
      </c>
      <c r="E1251">
        <v>27224691</v>
      </c>
      <c r="F1251">
        <v>423878563812</v>
      </c>
      <c r="G1251">
        <v>110.42</v>
      </c>
      <c r="H1251">
        <v>109.87</v>
      </c>
      <c r="I1251">
        <v>0</v>
      </c>
      <c r="J1251">
        <v>0</v>
      </c>
      <c r="K1251">
        <v>81.599999999999994</v>
      </c>
      <c r="L1251">
        <v>81.599999999999994</v>
      </c>
      <c r="M1251">
        <v>0</v>
      </c>
      <c r="N1251">
        <v>28.82</v>
      </c>
      <c r="O1251">
        <v>0</v>
      </c>
      <c r="P1251">
        <v>0</v>
      </c>
      <c r="Q1251">
        <v>73.900000000000006</v>
      </c>
      <c r="R1251">
        <v>26.1</v>
      </c>
      <c r="S1251">
        <v>73.900000000000006</v>
      </c>
      <c r="T1251">
        <v>207.21</v>
      </c>
      <c r="U1251">
        <v>0</v>
      </c>
      <c r="X1251">
        <v>5.7</v>
      </c>
    </row>
    <row r="1252" spans="1:25" x14ac:dyDescent="0.25">
      <c r="A1252" t="s">
        <v>137</v>
      </c>
      <c r="B1252" t="s">
        <v>30</v>
      </c>
      <c r="C1252" t="s">
        <v>31</v>
      </c>
      <c r="D1252">
        <v>2007</v>
      </c>
      <c r="E1252">
        <v>27649369</v>
      </c>
      <c r="F1252">
        <v>462276737389</v>
      </c>
      <c r="G1252">
        <v>114.21</v>
      </c>
      <c r="H1252">
        <v>113.67</v>
      </c>
      <c r="I1252">
        <v>0</v>
      </c>
      <c r="J1252">
        <v>0</v>
      </c>
      <c r="K1252">
        <v>83.06</v>
      </c>
      <c r="L1252">
        <v>83.06</v>
      </c>
      <c r="M1252">
        <v>0</v>
      </c>
      <c r="N1252">
        <v>31.15</v>
      </c>
      <c r="O1252">
        <v>0</v>
      </c>
      <c r="P1252">
        <v>0</v>
      </c>
      <c r="Q1252">
        <v>72.725999999999999</v>
      </c>
      <c r="R1252">
        <v>27.274000000000001</v>
      </c>
      <c r="S1252">
        <v>72.725999999999999</v>
      </c>
      <c r="T1252">
        <v>217.67</v>
      </c>
      <c r="U1252">
        <v>0</v>
      </c>
      <c r="X1252">
        <v>1.8</v>
      </c>
    </row>
    <row r="1253" spans="1:25" x14ac:dyDescent="0.25">
      <c r="A1253" t="s">
        <v>137</v>
      </c>
      <c r="B1253" t="s">
        <v>30</v>
      </c>
      <c r="C1253" t="s">
        <v>31</v>
      </c>
      <c r="D1253">
        <v>2008</v>
      </c>
      <c r="E1253">
        <v>28053694</v>
      </c>
      <c r="F1253">
        <v>488287068325</v>
      </c>
      <c r="G1253">
        <v>119.3</v>
      </c>
      <c r="H1253">
        <v>118.83</v>
      </c>
      <c r="I1253">
        <v>0</v>
      </c>
      <c r="J1253">
        <v>0</v>
      </c>
      <c r="K1253">
        <v>86.84</v>
      </c>
      <c r="L1253">
        <v>86.84</v>
      </c>
      <c r="M1253">
        <v>0</v>
      </c>
      <c r="N1253">
        <v>32.46</v>
      </c>
      <c r="O1253">
        <v>0</v>
      </c>
      <c r="P1253">
        <v>0</v>
      </c>
      <c r="Q1253">
        <v>72.790999999999997</v>
      </c>
      <c r="R1253">
        <v>27.209</v>
      </c>
      <c r="S1253">
        <v>72.790999999999997</v>
      </c>
      <c r="T1253">
        <v>215.68</v>
      </c>
      <c r="U1253">
        <v>0</v>
      </c>
      <c r="X1253">
        <v>4.5999999999999996</v>
      </c>
    </row>
    <row r="1254" spans="1:25" x14ac:dyDescent="0.25">
      <c r="A1254" t="s">
        <v>137</v>
      </c>
      <c r="B1254" t="s">
        <v>30</v>
      </c>
      <c r="C1254" t="s">
        <v>31</v>
      </c>
      <c r="D1254">
        <v>2009</v>
      </c>
      <c r="E1254">
        <v>28438296</v>
      </c>
      <c r="F1254">
        <v>474358611901</v>
      </c>
      <c r="G1254">
        <v>119.57</v>
      </c>
      <c r="H1254">
        <v>119.2</v>
      </c>
      <c r="I1254">
        <v>0</v>
      </c>
      <c r="J1254">
        <v>0</v>
      </c>
      <c r="K1254">
        <v>85.96</v>
      </c>
      <c r="L1254">
        <v>85.96</v>
      </c>
      <c r="M1254">
        <v>0</v>
      </c>
      <c r="N1254">
        <v>33.61</v>
      </c>
      <c r="O1254">
        <v>0</v>
      </c>
      <c r="P1254">
        <v>0</v>
      </c>
      <c r="Q1254">
        <v>71.891000000000005</v>
      </c>
      <c r="R1254">
        <v>28.109000000000002</v>
      </c>
      <c r="S1254">
        <v>71.891000000000005</v>
      </c>
      <c r="T1254">
        <v>222.13</v>
      </c>
      <c r="U1254">
        <v>0</v>
      </c>
      <c r="X1254">
        <v>-1</v>
      </c>
    </row>
    <row r="1255" spans="1:25" x14ac:dyDescent="0.25">
      <c r="A1255" t="s">
        <v>137</v>
      </c>
      <c r="B1255" t="s">
        <v>30</v>
      </c>
      <c r="C1255" t="s">
        <v>31</v>
      </c>
      <c r="D1255">
        <v>2010</v>
      </c>
      <c r="E1255">
        <v>28813101</v>
      </c>
      <c r="F1255">
        <v>477591738082</v>
      </c>
      <c r="G1255">
        <v>113.76</v>
      </c>
      <c r="H1255">
        <v>113.3</v>
      </c>
      <c r="I1255">
        <v>0</v>
      </c>
      <c r="J1255">
        <v>0</v>
      </c>
      <c r="K1255">
        <v>76.78</v>
      </c>
      <c r="L1255">
        <v>76.78</v>
      </c>
      <c r="M1255">
        <v>0</v>
      </c>
      <c r="N1255">
        <v>36.979999999999997</v>
      </c>
      <c r="O1255">
        <v>0</v>
      </c>
      <c r="P1255">
        <v>0</v>
      </c>
      <c r="Q1255">
        <v>67.492999999999995</v>
      </c>
      <c r="R1255">
        <v>32.506999999999998</v>
      </c>
      <c r="S1255">
        <v>67.492999999999995</v>
      </c>
      <c r="T1255">
        <v>252.02</v>
      </c>
      <c r="U1255">
        <v>0</v>
      </c>
      <c r="X1255">
        <v>-10.7</v>
      </c>
    </row>
    <row r="1256" spans="1:25" x14ac:dyDescent="0.25">
      <c r="A1256" t="s">
        <v>137</v>
      </c>
      <c r="B1256" t="s">
        <v>30</v>
      </c>
      <c r="C1256" t="s">
        <v>31</v>
      </c>
      <c r="D1256">
        <v>2011</v>
      </c>
      <c r="E1256">
        <v>29185220</v>
      </c>
      <c r="F1256">
        <v>502688619769</v>
      </c>
      <c r="G1256">
        <v>117.96</v>
      </c>
      <c r="H1256">
        <v>117.47</v>
      </c>
      <c r="I1256">
        <v>0</v>
      </c>
      <c r="J1256">
        <v>0</v>
      </c>
      <c r="K1256">
        <v>83.67</v>
      </c>
      <c r="L1256">
        <v>83.67</v>
      </c>
      <c r="M1256">
        <v>0</v>
      </c>
      <c r="N1256">
        <v>34.29</v>
      </c>
      <c r="O1256">
        <v>0</v>
      </c>
      <c r="P1256">
        <v>0</v>
      </c>
      <c r="Q1256">
        <v>70.930999999999997</v>
      </c>
      <c r="R1256">
        <v>29.068999999999999</v>
      </c>
      <c r="S1256">
        <v>70.930999999999997</v>
      </c>
      <c r="T1256">
        <v>227.11</v>
      </c>
      <c r="U1256">
        <v>0</v>
      </c>
      <c r="X1256">
        <v>9</v>
      </c>
    </row>
    <row r="1257" spans="1:25" x14ac:dyDescent="0.25">
      <c r="A1257" t="s">
        <v>137</v>
      </c>
      <c r="B1257" t="s">
        <v>30</v>
      </c>
      <c r="C1257" t="s">
        <v>31</v>
      </c>
      <c r="D1257">
        <v>2012</v>
      </c>
      <c r="E1257">
        <v>29553829</v>
      </c>
      <c r="F1257">
        <v>530969916373</v>
      </c>
      <c r="G1257">
        <v>128.31</v>
      </c>
      <c r="H1257">
        <v>127.97</v>
      </c>
      <c r="I1257">
        <v>0</v>
      </c>
      <c r="J1257">
        <v>0.05</v>
      </c>
      <c r="K1257">
        <v>82.06</v>
      </c>
      <c r="L1257">
        <v>82.01</v>
      </c>
      <c r="M1257">
        <v>0</v>
      </c>
      <c r="N1257">
        <v>46.25</v>
      </c>
      <c r="O1257">
        <v>0</v>
      </c>
      <c r="P1257">
        <v>3.9E-2</v>
      </c>
      <c r="Q1257">
        <v>63.954000000000001</v>
      </c>
      <c r="R1257">
        <v>36.045999999999999</v>
      </c>
      <c r="S1257">
        <v>63.954000000000001</v>
      </c>
      <c r="T1257">
        <v>279.87</v>
      </c>
      <c r="U1257">
        <v>0.02</v>
      </c>
      <c r="X1257">
        <v>-1.9</v>
      </c>
    </row>
    <row r="1258" spans="1:25" x14ac:dyDescent="0.25">
      <c r="A1258" t="s">
        <v>137</v>
      </c>
      <c r="B1258" t="s">
        <v>30</v>
      </c>
      <c r="C1258" t="s">
        <v>31</v>
      </c>
      <c r="D1258">
        <v>2013</v>
      </c>
      <c r="E1258">
        <v>29912195</v>
      </c>
      <c r="F1258">
        <v>538100828642</v>
      </c>
      <c r="G1258">
        <v>135.13</v>
      </c>
      <c r="H1258">
        <v>135</v>
      </c>
      <c r="I1258">
        <v>0</v>
      </c>
      <c r="J1258">
        <v>0.09</v>
      </c>
      <c r="K1258">
        <v>83.63</v>
      </c>
      <c r="L1258">
        <v>83.54</v>
      </c>
      <c r="M1258">
        <v>0</v>
      </c>
      <c r="N1258">
        <v>51.5</v>
      </c>
      <c r="O1258">
        <v>0</v>
      </c>
      <c r="P1258">
        <v>6.7000000000000004E-2</v>
      </c>
      <c r="Q1258">
        <v>61.889000000000003</v>
      </c>
      <c r="R1258">
        <v>38.110999999999997</v>
      </c>
      <c r="S1258">
        <v>61.889000000000003</v>
      </c>
      <c r="T1258">
        <v>297.79000000000002</v>
      </c>
      <c r="U1258">
        <v>0.04</v>
      </c>
      <c r="W1258">
        <v>80</v>
      </c>
      <c r="X1258">
        <v>1.9</v>
      </c>
    </row>
    <row r="1259" spans="1:25" x14ac:dyDescent="0.25">
      <c r="A1259" t="s">
        <v>137</v>
      </c>
      <c r="B1259" t="s">
        <v>30</v>
      </c>
      <c r="C1259" t="s">
        <v>31</v>
      </c>
      <c r="D1259">
        <v>2014</v>
      </c>
      <c r="E1259">
        <v>30254080</v>
      </c>
      <c r="F1259">
        <v>517147151484</v>
      </c>
      <c r="G1259">
        <v>115.23</v>
      </c>
      <c r="H1259">
        <v>114.36</v>
      </c>
      <c r="I1259">
        <v>0</v>
      </c>
      <c r="J1259">
        <v>0.09</v>
      </c>
      <c r="K1259">
        <v>64.38</v>
      </c>
      <c r="L1259">
        <v>64.290000000000006</v>
      </c>
      <c r="M1259">
        <v>0</v>
      </c>
      <c r="N1259">
        <v>50.85</v>
      </c>
      <c r="O1259">
        <v>0</v>
      </c>
      <c r="P1259">
        <v>7.8E-2</v>
      </c>
      <c r="Q1259">
        <v>55.871000000000002</v>
      </c>
      <c r="R1259">
        <v>44.128999999999998</v>
      </c>
      <c r="S1259">
        <v>55.871000000000002</v>
      </c>
      <c r="T1259">
        <v>341.49</v>
      </c>
      <c r="U1259">
        <v>0.04</v>
      </c>
      <c r="W1259">
        <v>0</v>
      </c>
      <c r="X1259">
        <v>-23</v>
      </c>
    </row>
    <row r="1260" spans="1:25" x14ac:dyDescent="0.25">
      <c r="A1260" t="s">
        <v>137</v>
      </c>
      <c r="B1260" t="s">
        <v>30</v>
      </c>
      <c r="C1260" t="s">
        <v>31</v>
      </c>
      <c r="D1260">
        <v>2015</v>
      </c>
      <c r="E1260">
        <v>30573968</v>
      </c>
      <c r="F1260">
        <v>484975458402</v>
      </c>
      <c r="G1260">
        <v>127.52</v>
      </c>
      <c r="H1260">
        <v>126.55</v>
      </c>
      <c r="I1260">
        <v>0.01</v>
      </c>
      <c r="J1260">
        <v>0.09</v>
      </c>
      <c r="K1260">
        <v>75</v>
      </c>
      <c r="L1260">
        <v>74.900000000000006</v>
      </c>
      <c r="M1260">
        <v>0</v>
      </c>
      <c r="N1260">
        <v>52.52</v>
      </c>
      <c r="O1260">
        <v>8.0000000000000002E-3</v>
      </c>
      <c r="P1260">
        <v>7.0999999999999994E-2</v>
      </c>
      <c r="Q1260">
        <v>58.814</v>
      </c>
      <c r="R1260">
        <v>41.186</v>
      </c>
      <c r="S1260">
        <v>58.814</v>
      </c>
      <c r="T1260">
        <v>318.93</v>
      </c>
      <c r="U1260">
        <v>0.04</v>
      </c>
      <c r="W1260">
        <v>0</v>
      </c>
      <c r="X1260">
        <v>16.5</v>
      </c>
      <c r="Y1260" t="s">
        <v>138</v>
      </c>
    </row>
    <row r="1261" spans="1:25" x14ac:dyDescent="0.25">
      <c r="A1261" t="s">
        <v>137</v>
      </c>
      <c r="B1261" t="s">
        <v>30</v>
      </c>
      <c r="C1261" t="s">
        <v>31</v>
      </c>
      <c r="D1261">
        <v>2016</v>
      </c>
      <c r="E1261">
        <v>30765719</v>
      </c>
      <c r="F1261">
        <v>402335647692</v>
      </c>
      <c r="G1261">
        <v>116.94</v>
      </c>
      <c r="H1261">
        <v>115.83</v>
      </c>
      <c r="I1261">
        <v>0.01</v>
      </c>
      <c r="J1261">
        <v>0.09</v>
      </c>
      <c r="K1261">
        <v>63.06</v>
      </c>
      <c r="L1261">
        <v>62.96</v>
      </c>
      <c r="M1261">
        <v>0</v>
      </c>
      <c r="N1261">
        <v>53.88</v>
      </c>
      <c r="O1261">
        <v>8.9999999999999993E-3</v>
      </c>
      <c r="P1261">
        <v>7.6999999999999999E-2</v>
      </c>
      <c r="Q1261">
        <v>53.924999999999997</v>
      </c>
      <c r="R1261">
        <v>46.075000000000003</v>
      </c>
      <c r="S1261">
        <v>53.924999999999997</v>
      </c>
      <c r="T1261">
        <v>356.76</v>
      </c>
      <c r="U1261">
        <v>0.04</v>
      </c>
      <c r="V1261">
        <v>0</v>
      </c>
      <c r="W1261">
        <v>0</v>
      </c>
      <c r="X1261">
        <v>-15.9</v>
      </c>
    </row>
    <row r="1262" spans="1:25" x14ac:dyDescent="0.25">
      <c r="A1262" t="s">
        <v>137</v>
      </c>
      <c r="B1262" t="s">
        <v>30</v>
      </c>
      <c r="C1262" t="s">
        <v>31</v>
      </c>
      <c r="D1262">
        <v>2017</v>
      </c>
      <c r="E1262">
        <v>30565331</v>
      </c>
      <c r="F1262">
        <v>339285602968</v>
      </c>
      <c r="G1262">
        <v>103.8</v>
      </c>
      <c r="H1262">
        <v>102.74</v>
      </c>
      <c r="I1262">
        <v>0.01</v>
      </c>
      <c r="J1262">
        <v>0.09</v>
      </c>
      <c r="K1262">
        <v>60.61</v>
      </c>
      <c r="L1262">
        <v>60.51</v>
      </c>
      <c r="M1262">
        <v>0</v>
      </c>
      <c r="N1262">
        <v>43.19</v>
      </c>
      <c r="O1262">
        <v>0.01</v>
      </c>
      <c r="P1262">
        <v>8.6999999999999994E-2</v>
      </c>
      <c r="Q1262">
        <v>58.390999999999998</v>
      </c>
      <c r="R1262">
        <v>41.609000000000002</v>
      </c>
      <c r="S1262">
        <v>58.390999999999998</v>
      </c>
      <c r="T1262">
        <v>320.81</v>
      </c>
      <c r="U1262">
        <v>0.04</v>
      </c>
      <c r="V1262">
        <v>0</v>
      </c>
      <c r="W1262">
        <v>0</v>
      </c>
      <c r="X1262">
        <v>-3.9</v>
      </c>
    </row>
    <row r="1263" spans="1:25" x14ac:dyDescent="0.25">
      <c r="A1263" t="s">
        <v>137</v>
      </c>
      <c r="B1263" t="s">
        <v>30</v>
      </c>
      <c r="C1263" t="s">
        <v>31</v>
      </c>
      <c r="D1263">
        <v>2018</v>
      </c>
      <c r="E1263">
        <v>29807591</v>
      </c>
      <c r="F1263">
        <v>272599019803</v>
      </c>
      <c r="G1263">
        <v>99.71</v>
      </c>
      <c r="H1263">
        <v>98.69</v>
      </c>
      <c r="I1263">
        <v>0.01</v>
      </c>
      <c r="J1263">
        <v>0.04</v>
      </c>
      <c r="K1263">
        <v>58.2</v>
      </c>
      <c r="L1263">
        <v>58.15</v>
      </c>
      <c r="M1263">
        <v>0</v>
      </c>
      <c r="N1263">
        <v>41.51</v>
      </c>
      <c r="O1263">
        <v>0.01</v>
      </c>
      <c r="P1263">
        <v>0.04</v>
      </c>
      <c r="Q1263">
        <v>58.369</v>
      </c>
      <c r="R1263">
        <v>41.631</v>
      </c>
      <c r="S1263">
        <v>58.369</v>
      </c>
      <c r="T1263">
        <v>320.93</v>
      </c>
      <c r="U1263">
        <v>0.02</v>
      </c>
      <c r="V1263">
        <v>0</v>
      </c>
      <c r="W1263">
        <v>-55.6</v>
      </c>
      <c r="X1263">
        <v>-4</v>
      </c>
    </row>
    <row r="1264" spans="1:25" x14ac:dyDescent="0.25">
      <c r="A1264" t="s">
        <v>137</v>
      </c>
      <c r="B1264" t="s">
        <v>30</v>
      </c>
      <c r="C1264" t="s">
        <v>31</v>
      </c>
      <c r="D1264">
        <v>2019</v>
      </c>
      <c r="E1264">
        <v>28938096</v>
      </c>
      <c r="F1264">
        <v>197170883456</v>
      </c>
      <c r="G1264">
        <v>85.15</v>
      </c>
      <c r="H1264">
        <v>84.28</v>
      </c>
      <c r="I1264">
        <v>0.01</v>
      </c>
      <c r="J1264">
        <v>0.06</v>
      </c>
      <c r="K1264">
        <v>49.71</v>
      </c>
      <c r="L1264">
        <v>49.64</v>
      </c>
      <c r="M1264">
        <v>0</v>
      </c>
      <c r="N1264">
        <v>35.44</v>
      </c>
      <c r="O1264">
        <v>1.2E-2</v>
      </c>
      <c r="P1264">
        <v>7.0000000000000007E-2</v>
      </c>
      <c r="Q1264">
        <v>58.378999999999998</v>
      </c>
      <c r="R1264">
        <v>41.621000000000002</v>
      </c>
      <c r="S1264">
        <v>58.378999999999998</v>
      </c>
      <c r="T1264">
        <v>320.85000000000002</v>
      </c>
      <c r="U1264">
        <v>0.03</v>
      </c>
      <c r="V1264">
        <v>0</v>
      </c>
      <c r="W1264">
        <v>50</v>
      </c>
      <c r="X1264">
        <v>-14.6</v>
      </c>
    </row>
    <row r="1265" spans="1:24" x14ac:dyDescent="0.25">
      <c r="A1265" t="s">
        <v>137</v>
      </c>
      <c r="B1265" t="s">
        <v>30</v>
      </c>
      <c r="C1265" t="s">
        <v>31</v>
      </c>
      <c r="D1265">
        <v>2020</v>
      </c>
      <c r="E1265">
        <v>28444080</v>
      </c>
      <c r="F1265">
        <v>138029481377</v>
      </c>
      <c r="G1265">
        <v>80.510000000000005</v>
      </c>
      <c r="H1265">
        <v>79.86</v>
      </c>
      <c r="I1265">
        <v>0.01</v>
      </c>
      <c r="J1265">
        <v>0.02</v>
      </c>
      <c r="K1265">
        <v>62.54</v>
      </c>
      <c r="L1265">
        <v>62.51</v>
      </c>
      <c r="M1265">
        <v>0</v>
      </c>
      <c r="N1265">
        <v>17.97</v>
      </c>
      <c r="O1265">
        <v>1.2E-2</v>
      </c>
      <c r="P1265">
        <v>2.5000000000000001E-2</v>
      </c>
      <c r="Q1265">
        <v>77.680000000000007</v>
      </c>
      <c r="R1265">
        <v>22.32</v>
      </c>
      <c r="S1265">
        <v>77.680000000000007</v>
      </c>
      <c r="T1265">
        <v>184.57</v>
      </c>
      <c r="U1265">
        <v>0.01</v>
      </c>
      <c r="V1265">
        <v>0</v>
      </c>
      <c r="W1265">
        <v>-66.7</v>
      </c>
      <c r="X1265">
        <v>25.8</v>
      </c>
    </row>
    <row r="1266" spans="1:24" x14ac:dyDescent="0.25">
      <c r="A1266" t="s">
        <v>137</v>
      </c>
      <c r="B1266" t="s">
        <v>30</v>
      </c>
      <c r="C1266" t="s">
        <v>31</v>
      </c>
      <c r="D1266">
        <v>2021</v>
      </c>
      <c r="E1266">
        <v>28237830</v>
      </c>
      <c r="F1266">
        <v>138656126606</v>
      </c>
      <c r="G1266">
        <v>82.93</v>
      </c>
      <c r="H1266">
        <v>82.93</v>
      </c>
      <c r="I1266">
        <v>0.01</v>
      </c>
      <c r="J1266">
        <v>0.02</v>
      </c>
      <c r="K1266">
        <v>65.709999999999994</v>
      </c>
      <c r="L1266">
        <v>65.680000000000007</v>
      </c>
      <c r="M1266">
        <v>0</v>
      </c>
      <c r="N1266">
        <v>17.22</v>
      </c>
      <c r="O1266">
        <v>1.2E-2</v>
      </c>
      <c r="P1266">
        <v>2.4E-2</v>
      </c>
      <c r="Q1266">
        <v>79.234999999999999</v>
      </c>
      <c r="R1266">
        <v>20.763999999999999</v>
      </c>
      <c r="S1266">
        <v>79.234999999999999</v>
      </c>
      <c r="T1266">
        <v>174.24</v>
      </c>
      <c r="U1266">
        <v>0.01</v>
      </c>
      <c r="V1266">
        <v>0</v>
      </c>
      <c r="W1266">
        <v>0</v>
      </c>
      <c r="X1266">
        <v>5.0999999999999996</v>
      </c>
    </row>
    <row r="1267" spans="1:24" x14ac:dyDescent="0.25">
      <c r="A1267" t="s">
        <v>137</v>
      </c>
      <c r="B1267" t="s">
        <v>30</v>
      </c>
      <c r="C1267" t="s">
        <v>31</v>
      </c>
      <c r="D1267">
        <v>2022</v>
      </c>
      <c r="E1267">
        <v>28213015</v>
      </c>
      <c r="F1267">
        <v>149682062815</v>
      </c>
      <c r="G1267">
        <v>82.36</v>
      </c>
      <c r="H1267">
        <v>82.36</v>
      </c>
      <c r="I1267">
        <v>0.01</v>
      </c>
      <c r="J1267">
        <v>0.02</v>
      </c>
      <c r="K1267">
        <v>64.540000000000006</v>
      </c>
      <c r="L1267">
        <v>64.510000000000005</v>
      </c>
      <c r="M1267">
        <v>0</v>
      </c>
      <c r="N1267">
        <v>17.82</v>
      </c>
      <c r="O1267">
        <v>1.2E-2</v>
      </c>
      <c r="P1267">
        <v>2.4E-2</v>
      </c>
      <c r="Q1267">
        <v>78.363</v>
      </c>
      <c r="R1267">
        <v>21.637</v>
      </c>
      <c r="S1267">
        <v>78.363</v>
      </c>
      <c r="T1267">
        <v>180.43</v>
      </c>
      <c r="U1267">
        <v>0.01</v>
      </c>
      <c r="V1267">
        <v>0</v>
      </c>
      <c r="W1267">
        <v>0</v>
      </c>
      <c r="X1267">
        <v>-1.8</v>
      </c>
    </row>
    <row r="1268" spans="1:24" x14ac:dyDescent="0.25">
      <c r="A1268" t="s">
        <v>137</v>
      </c>
      <c r="B1268" t="s">
        <v>30</v>
      </c>
      <c r="C1268" t="s">
        <v>31</v>
      </c>
      <c r="D1268">
        <v>2023</v>
      </c>
      <c r="E1268">
        <v>28300861</v>
      </c>
      <c r="G1268">
        <v>71.959999999999994</v>
      </c>
      <c r="H1268">
        <v>71.959999999999994</v>
      </c>
      <c r="I1268">
        <v>0.01</v>
      </c>
      <c r="J1268">
        <v>0.02</v>
      </c>
      <c r="K1268">
        <v>65.010000000000005</v>
      </c>
      <c r="L1268">
        <v>64.98</v>
      </c>
      <c r="M1268">
        <v>0</v>
      </c>
      <c r="N1268">
        <v>6.95</v>
      </c>
      <c r="O1268">
        <v>1.4E-2</v>
      </c>
      <c r="P1268">
        <v>2.8000000000000001E-2</v>
      </c>
      <c r="Q1268">
        <v>90.341999999999999</v>
      </c>
      <c r="R1268">
        <v>9.6579999999999995</v>
      </c>
      <c r="S1268">
        <v>90.341999999999999</v>
      </c>
      <c r="T1268">
        <v>91.86</v>
      </c>
      <c r="U1268">
        <v>0.01</v>
      </c>
      <c r="V1268">
        <v>0</v>
      </c>
      <c r="W1268">
        <v>0</v>
      </c>
      <c r="X1268">
        <v>0.7</v>
      </c>
    </row>
    <row r="1269" spans="1:24" x14ac:dyDescent="0.25">
      <c r="A1269" t="s">
        <v>137</v>
      </c>
      <c r="B1269" t="s">
        <v>30</v>
      </c>
      <c r="C1269" t="s">
        <v>31</v>
      </c>
      <c r="D1269">
        <v>2024</v>
      </c>
      <c r="E1269">
        <v>28405544</v>
      </c>
      <c r="G1269">
        <v>80.13</v>
      </c>
      <c r="H1269">
        <v>80.13</v>
      </c>
      <c r="I1269">
        <v>0.01</v>
      </c>
      <c r="J1269">
        <v>0.02</v>
      </c>
      <c r="K1269">
        <v>73.03</v>
      </c>
      <c r="L1269">
        <v>73</v>
      </c>
      <c r="M1269">
        <v>0</v>
      </c>
      <c r="N1269">
        <v>7.1</v>
      </c>
      <c r="O1269">
        <v>1.2E-2</v>
      </c>
      <c r="P1269">
        <v>2.5000000000000001E-2</v>
      </c>
      <c r="Q1269">
        <v>91.138999999999996</v>
      </c>
      <c r="R1269">
        <v>8.8610000000000007</v>
      </c>
      <c r="S1269">
        <v>91.138999999999996</v>
      </c>
      <c r="T1269">
        <v>85.86</v>
      </c>
      <c r="U1269">
        <v>0.01</v>
      </c>
      <c r="V1269">
        <v>0</v>
      </c>
      <c r="W1269">
        <v>0</v>
      </c>
      <c r="X1269">
        <v>12.3</v>
      </c>
    </row>
    <row r="1270" spans="1:24" x14ac:dyDescent="0.25">
      <c r="A1270" t="s">
        <v>139</v>
      </c>
      <c r="B1270" t="s">
        <v>41</v>
      </c>
      <c r="C1270" t="s">
        <v>27</v>
      </c>
      <c r="D1270">
        <v>2000</v>
      </c>
      <c r="E1270">
        <v>77154016</v>
      </c>
      <c r="F1270">
        <v>220383060780</v>
      </c>
      <c r="G1270">
        <v>26.56</v>
      </c>
      <c r="H1270">
        <v>26.56</v>
      </c>
      <c r="I1270">
        <v>0</v>
      </c>
      <c r="J1270">
        <v>0</v>
      </c>
      <c r="K1270">
        <v>14.55</v>
      </c>
      <c r="L1270">
        <v>14.55</v>
      </c>
      <c r="M1270">
        <v>0</v>
      </c>
      <c r="N1270">
        <v>12.01</v>
      </c>
      <c r="O1270">
        <v>0</v>
      </c>
      <c r="P1270">
        <v>0</v>
      </c>
      <c r="Q1270">
        <v>54.781999999999996</v>
      </c>
      <c r="R1270">
        <v>45.218000000000004</v>
      </c>
      <c r="S1270">
        <v>54.781999999999996</v>
      </c>
      <c r="T1270">
        <v>321.91000000000003</v>
      </c>
      <c r="U1270">
        <v>0</v>
      </c>
    </row>
    <row r="1271" spans="1:24" x14ac:dyDescent="0.25">
      <c r="A1271" t="s">
        <v>139</v>
      </c>
      <c r="B1271" t="s">
        <v>41</v>
      </c>
      <c r="C1271" t="s">
        <v>27</v>
      </c>
      <c r="D1271">
        <v>2001</v>
      </c>
      <c r="E1271">
        <v>77969357</v>
      </c>
      <c r="F1271">
        <v>234846323475</v>
      </c>
      <c r="G1271">
        <v>30.61</v>
      </c>
      <c r="H1271">
        <v>30.61</v>
      </c>
      <c r="I1271">
        <v>0</v>
      </c>
      <c r="J1271">
        <v>0</v>
      </c>
      <c r="K1271">
        <v>18.21</v>
      </c>
      <c r="L1271">
        <v>18.21</v>
      </c>
      <c r="M1271">
        <v>0</v>
      </c>
      <c r="N1271">
        <v>12.4</v>
      </c>
      <c r="O1271">
        <v>0</v>
      </c>
      <c r="P1271">
        <v>0</v>
      </c>
      <c r="Q1271">
        <v>59.49</v>
      </c>
      <c r="R1271">
        <v>40.51</v>
      </c>
      <c r="S1271">
        <v>59.49</v>
      </c>
      <c r="T1271">
        <v>290.76</v>
      </c>
      <c r="U1271">
        <v>0</v>
      </c>
      <c r="X1271">
        <v>25.2</v>
      </c>
    </row>
    <row r="1272" spans="1:24" x14ac:dyDescent="0.25">
      <c r="A1272" t="s">
        <v>139</v>
      </c>
      <c r="B1272" t="s">
        <v>41</v>
      </c>
      <c r="C1272" t="s">
        <v>27</v>
      </c>
      <c r="D1272">
        <v>2002</v>
      </c>
      <c r="E1272">
        <v>78772227</v>
      </c>
      <c r="F1272">
        <v>250683369279</v>
      </c>
      <c r="G1272">
        <v>35.799999999999997</v>
      </c>
      <c r="H1272">
        <v>35.799999999999997</v>
      </c>
      <c r="I1272">
        <v>0</v>
      </c>
      <c r="J1272">
        <v>0</v>
      </c>
      <c r="K1272">
        <v>18.2</v>
      </c>
      <c r="L1272">
        <v>18.2</v>
      </c>
      <c r="M1272">
        <v>0</v>
      </c>
      <c r="N1272">
        <v>17.600000000000001</v>
      </c>
      <c r="O1272">
        <v>0</v>
      </c>
      <c r="P1272">
        <v>0</v>
      </c>
      <c r="Q1272">
        <v>50.838000000000001</v>
      </c>
      <c r="R1272">
        <v>49.161999999999999</v>
      </c>
      <c r="S1272">
        <v>50.838000000000001</v>
      </c>
      <c r="T1272">
        <v>344.41</v>
      </c>
      <c r="U1272">
        <v>0</v>
      </c>
      <c r="X1272">
        <v>-0.1</v>
      </c>
    </row>
    <row r="1273" spans="1:24" x14ac:dyDescent="0.25">
      <c r="A1273" t="s">
        <v>139</v>
      </c>
      <c r="B1273" t="s">
        <v>41</v>
      </c>
      <c r="C1273" t="s">
        <v>27</v>
      </c>
      <c r="D1273">
        <v>2003</v>
      </c>
      <c r="E1273">
        <v>79563778</v>
      </c>
      <c r="F1273">
        <v>268202912195</v>
      </c>
      <c r="G1273">
        <v>40.93</v>
      </c>
      <c r="H1273">
        <v>40.93</v>
      </c>
      <c r="I1273">
        <v>0</v>
      </c>
      <c r="J1273">
        <v>0</v>
      </c>
      <c r="K1273">
        <v>18.989999999999998</v>
      </c>
      <c r="L1273">
        <v>18.989999999999998</v>
      </c>
      <c r="M1273">
        <v>0</v>
      </c>
      <c r="N1273">
        <v>21.94</v>
      </c>
      <c r="O1273">
        <v>0</v>
      </c>
      <c r="P1273">
        <v>0</v>
      </c>
      <c r="Q1273">
        <v>46.396000000000001</v>
      </c>
      <c r="R1273">
        <v>53.603999999999999</v>
      </c>
      <c r="S1273">
        <v>46.396000000000001</v>
      </c>
      <c r="T1273">
        <v>375.76</v>
      </c>
      <c r="U1273">
        <v>0</v>
      </c>
      <c r="X1273">
        <v>4.3</v>
      </c>
    </row>
    <row r="1274" spans="1:24" x14ac:dyDescent="0.25">
      <c r="A1274" t="s">
        <v>139</v>
      </c>
      <c r="B1274" t="s">
        <v>41</v>
      </c>
      <c r="C1274" t="s">
        <v>27</v>
      </c>
      <c r="D1274">
        <v>2004</v>
      </c>
      <c r="E1274">
        <v>80338977</v>
      </c>
      <c r="F1274">
        <v>288148996981</v>
      </c>
      <c r="G1274">
        <v>46.2</v>
      </c>
      <c r="H1274">
        <v>46.2</v>
      </c>
      <c r="I1274">
        <v>0</v>
      </c>
      <c r="J1274">
        <v>0</v>
      </c>
      <c r="K1274">
        <v>17.82</v>
      </c>
      <c r="L1274">
        <v>17.82</v>
      </c>
      <c r="M1274">
        <v>0</v>
      </c>
      <c r="N1274">
        <v>28.38</v>
      </c>
      <c r="O1274">
        <v>0</v>
      </c>
      <c r="P1274">
        <v>0</v>
      </c>
      <c r="Q1274">
        <v>38.570999999999998</v>
      </c>
      <c r="R1274">
        <v>61.429000000000002</v>
      </c>
      <c r="S1274">
        <v>38.570999999999998</v>
      </c>
      <c r="T1274">
        <v>407.14</v>
      </c>
      <c r="U1274">
        <v>0</v>
      </c>
      <c r="X1274">
        <v>-6.2</v>
      </c>
    </row>
    <row r="1275" spans="1:24" x14ac:dyDescent="0.25">
      <c r="A1275" t="s">
        <v>139</v>
      </c>
      <c r="B1275" t="s">
        <v>41</v>
      </c>
      <c r="C1275" t="s">
        <v>27</v>
      </c>
      <c r="D1275">
        <v>2005</v>
      </c>
      <c r="E1275">
        <v>81088309</v>
      </c>
      <c r="F1275">
        <v>308988652738</v>
      </c>
      <c r="G1275">
        <v>52.08</v>
      </c>
      <c r="H1275">
        <v>52.46</v>
      </c>
      <c r="I1275">
        <v>0</v>
      </c>
      <c r="J1275">
        <v>0</v>
      </c>
      <c r="K1275">
        <v>16.579999999999998</v>
      </c>
      <c r="L1275">
        <v>16.53</v>
      </c>
      <c r="M1275">
        <v>0</v>
      </c>
      <c r="N1275">
        <v>35.5</v>
      </c>
      <c r="O1275">
        <v>0</v>
      </c>
      <c r="P1275">
        <v>0</v>
      </c>
      <c r="Q1275">
        <v>31.835999999999999</v>
      </c>
      <c r="R1275">
        <v>68.164000000000001</v>
      </c>
      <c r="S1275">
        <v>31.835999999999999</v>
      </c>
      <c r="T1275">
        <v>462.56</v>
      </c>
      <c r="U1275">
        <v>0</v>
      </c>
      <c r="X1275">
        <v>-7</v>
      </c>
    </row>
    <row r="1276" spans="1:24" x14ac:dyDescent="0.25">
      <c r="A1276" t="s">
        <v>139</v>
      </c>
      <c r="B1276" t="s">
        <v>41</v>
      </c>
      <c r="C1276" t="s">
        <v>27</v>
      </c>
      <c r="D1276">
        <v>2006</v>
      </c>
      <c r="E1276">
        <v>82167901</v>
      </c>
      <c r="F1276">
        <v>329425429734</v>
      </c>
      <c r="G1276">
        <v>57.9</v>
      </c>
      <c r="H1276">
        <v>58.87</v>
      </c>
      <c r="I1276">
        <v>0</v>
      </c>
      <c r="J1276">
        <v>0</v>
      </c>
      <c r="K1276">
        <v>19.77</v>
      </c>
      <c r="L1276">
        <v>19.71</v>
      </c>
      <c r="M1276">
        <v>0</v>
      </c>
      <c r="N1276">
        <v>38.130000000000003</v>
      </c>
      <c r="O1276">
        <v>0</v>
      </c>
      <c r="P1276">
        <v>0</v>
      </c>
      <c r="Q1276">
        <v>34.145000000000003</v>
      </c>
      <c r="R1276">
        <v>65.855000000000004</v>
      </c>
      <c r="S1276">
        <v>34.145000000000003</v>
      </c>
      <c r="T1276">
        <v>448.36</v>
      </c>
      <c r="U1276">
        <v>0</v>
      </c>
      <c r="X1276">
        <v>19.2</v>
      </c>
    </row>
    <row r="1277" spans="1:24" x14ac:dyDescent="0.25">
      <c r="A1277" t="s">
        <v>139</v>
      </c>
      <c r="B1277" t="s">
        <v>41</v>
      </c>
      <c r="C1277" t="s">
        <v>27</v>
      </c>
      <c r="D1277">
        <v>2007</v>
      </c>
      <c r="E1277">
        <v>83633374</v>
      </c>
      <c r="F1277">
        <v>351786434406</v>
      </c>
      <c r="G1277">
        <v>64.16</v>
      </c>
      <c r="H1277">
        <v>66.790000000000006</v>
      </c>
      <c r="I1277">
        <v>0</v>
      </c>
      <c r="J1277">
        <v>0</v>
      </c>
      <c r="K1277">
        <v>22.52</v>
      </c>
      <c r="L1277">
        <v>22.44</v>
      </c>
      <c r="M1277">
        <v>0</v>
      </c>
      <c r="N1277">
        <v>41.64</v>
      </c>
      <c r="O1277">
        <v>0</v>
      </c>
      <c r="P1277">
        <v>0</v>
      </c>
      <c r="Q1277">
        <v>35.1</v>
      </c>
      <c r="R1277">
        <v>64.900000000000006</v>
      </c>
      <c r="S1277">
        <v>35.1</v>
      </c>
      <c r="T1277">
        <v>438.9</v>
      </c>
      <c r="U1277">
        <v>0</v>
      </c>
      <c r="X1277">
        <v>13.9</v>
      </c>
    </row>
    <row r="1278" spans="1:24" x14ac:dyDescent="0.25">
      <c r="A1278" t="s">
        <v>139</v>
      </c>
      <c r="B1278" t="s">
        <v>41</v>
      </c>
      <c r="C1278" t="s">
        <v>27</v>
      </c>
      <c r="D1278">
        <v>2008</v>
      </c>
      <c r="E1278">
        <v>85175789</v>
      </c>
      <c r="F1278">
        <v>370681828207</v>
      </c>
      <c r="G1278">
        <v>70.95</v>
      </c>
      <c r="H1278">
        <v>74.17</v>
      </c>
      <c r="I1278">
        <v>0</v>
      </c>
      <c r="J1278">
        <v>0</v>
      </c>
      <c r="K1278">
        <v>26.03</v>
      </c>
      <c r="L1278">
        <v>25.98</v>
      </c>
      <c r="M1278">
        <v>0</v>
      </c>
      <c r="N1278">
        <v>44.92</v>
      </c>
      <c r="O1278">
        <v>0</v>
      </c>
      <c r="P1278">
        <v>0</v>
      </c>
      <c r="Q1278">
        <v>36.688000000000002</v>
      </c>
      <c r="R1278">
        <v>63.311999999999998</v>
      </c>
      <c r="S1278">
        <v>36.688000000000002</v>
      </c>
      <c r="T1278">
        <v>421.85</v>
      </c>
      <c r="U1278">
        <v>0</v>
      </c>
      <c r="X1278">
        <v>15.6</v>
      </c>
    </row>
    <row r="1279" spans="1:24" x14ac:dyDescent="0.25">
      <c r="A1279" t="s">
        <v>139</v>
      </c>
      <c r="B1279" t="s">
        <v>41</v>
      </c>
      <c r="C1279" t="s">
        <v>27</v>
      </c>
      <c r="D1279">
        <v>2009</v>
      </c>
      <c r="E1279">
        <v>86460023</v>
      </c>
      <c r="F1279">
        <v>389670892896</v>
      </c>
      <c r="G1279">
        <v>80.64</v>
      </c>
      <c r="H1279">
        <v>84.37</v>
      </c>
      <c r="I1279">
        <v>0</v>
      </c>
      <c r="J1279">
        <v>0.01</v>
      </c>
      <c r="K1279">
        <v>30.05</v>
      </c>
      <c r="L1279">
        <v>29.98</v>
      </c>
      <c r="M1279">
        <v>0</v>
      </c>
      <c r="N1279">
        <v>50.59</v>
      </c>
      <c r="O1279">
        <v>0</v>
      </c>
      <c r="P1279">
        <v>1.2E-2</v>
      </c>
      <c r="Q1279">
        <v>37.264000000000003</v>
      </c>
      <c r="R1279">
        <v>62.735999999999997</v>
      </c>
      <c r="S1279">
        <v>37.264000000000003</v>
      </c>
      <c r="T1279">
        <v>411.95</v>
      </c>
      <c r="U1279">
        <v>0</v>
      </c>
      <c r="X1279">
        <v>15.4</v>
      </c>
    </row>
    <row r="1280" spans="1:24" x14ac:dyDescent="0.25">
      <c r="A1280" t="s">
        <v>139</v>
      </c>
      <c r="B1280" t="s">
        <v>41</v>
      </c>
      <c r="C1280" t="s">
        <v>27</v>
      </c>
      <c r="D1280">
        <v>2010</v>
      </c>
      <c r="E1280">
        <v>87455148</v>
      </c>
      <c r="F1280">
        <v>413666257649</v>
      </c>
      <c r="G1280">
        <v>91.72</v>
      </c>
      <c r="H1280">
        <v>96.36</v>
      </c>
      <c r="I1280">
        <v>0.01</v>
      </c>
      <c r="J1280">
        <v>0.04</v>
      </c>
      <c r="K1280">
        <v>28.62</v>
      </c>
      <c r="L1280">
        <v>28.52</v>
      </c>
      <c r="M1280">
        <v>0</v>
      </c>
      <c r="N1280">
        <v>63.1</v>
      </c>
      <c r="O1280">
        <v>1.0999999999999999E-2</v>
      </c>
      <c r="P1280">
        <v>4.3999999999999997E-2</v>
      </c>
      <c r="Q1280">
        <v>31.204000000000001</v>
      </c>
      <c r="R1280">
        <v>68.796000000000006</v>
      </c>
      <c r="S1280">
        <v>31.204000000000001</v>
      </c>
      <c r="T1280">
        <v>450.72</v>
      </c>
      <c r="U1280">
        <v>0.02</v>
      </c>
      <c r="W1280">
        <v>300</v>
      </c>
      <c r="X1280">
        <v>-4.8</v>
      </c>
    </row>
    <row r="1281" spans="1:25" x14ac:dyDescent="0.25">
      <c r="A1281" t="s">
        <v>139</v>
      </c>
      <c r="B1281" t="s">
        <v>41</v>
      </c>
      <c r="C1281" t="s">
        <v>27</v>
      </c>
      <c r="D1281">
        <v>2011</v>
      </c>
      <c r="E1281">
        <v>88468315</v>
      </c>
      <c r="F1281">
        <v>438354712953</v>
      </c>
      <c r="G1281">
        <v>101.51</v>
      </c>
      <c r="H1281">
        <v>105.38</v>
      </c>
      <c r="I1281">
        <v>0.01</v>
      </c>
      <c r="J1281">
        <v>0.04</v>
      </c>
      <c r="K1281">
        <v>41.19</v>
      </c>
      <c r="L1281">
        <v>41.08</v>
      </c>
      <c r="M1281">
        <v>0</v>
      </c>
      <c r="N1281">
        <v>60.32</v>
      </c>
      <c r="O1281">
        <v>0.01</v>
      </c>
      <c r="P1281">
        <v>3.9E-2</v>
      </c>
      <c r="Q1281">
        <v>40.576999999999998</v>
      </c>
      <c r="R1281">
        <v>59.423000000000002</v>
      </c>
      <c r="S1281">
        <v>40.576999999999998</v>
      </c>
      <c r="T1281">
        <v>405.48</v>
      </c>
      <c r="U1281">
        <v>0.02</v>
      </c>
      <c r="V1281">
        <v>0</v>
      </c>
      <c r="W1281">
        <v>0</v>
      </c>
      <c r="X1281">
        <v>43.9</v>
      </c>
    </row>
    <row r="1282" spans="1:25" x14ac:dyDescent="0.25">
      <c r="A1282" t="s">
        <v>139</v>
      </c>
      <c r="B1282" t="s">
        <v>41</v>
      </c>
      <c r="C1282" t="s">
        <v>27</v>
      </c>
      <c r="D1282">
        <v>2012</v>
      </c>
      <c r="E1282">
        <v>89510355</v>
      </c>
      <c r="F1282">
        <v>462486159336</v>
      </c>
      <c r="G1282">
        <v>115.16</v>
      </c>
      <c r="H1282">
        <v>116.61</v>
      </c>
      <c r="I1282">
        <v>0.01</v>
      </c>
      <c r="J1282">
        <v>0.04</v>
      </c>
      <c r="K1282">
        <v>53.42</v>
      </c>
      <c r="L1282">
        <v>53.31</v>
      </c>
      <c r="M1282">
        <v>0</v>
      </c>
      <c r="N1282">
        <v>61.74</v>
      </c>
      <c r="O1282">
        <v>8.9999999999999993E-3</v>
      </c>
      <c r="P1282">
        <v>3.5000000000000003E-2</v>
      </c>
      <c r="Q1282">
        <v>46.387999999999998</v>
      </c>
      <c r="R1282">
        <v>53.612000000000002</v>
      </c>
      <c r="S1282">
        <v>46.387999999999998</v>
      </c>
      <c r="T1282">
        <v>369.4</v>
      </c>
      <c r="U1282">
        <v>0.02</v>
      </c>
      <c r="V1282">
        <v>0</v>
      </c>
      <c r="W1282">
        <v>0</v>
      </c>
      <c r="X1282">
        <v>29.7</v>
      </c>
    </row>
    <row r="1283" spans="1:25" x14ac:dyDescent="0.25">
      <c r="A1283" t="s">
        <v>139</v>
      </c>
      <c r="B1283" t="s">
        <v>41</v>
      </c>
      <c r="C1283" t="s">
        <v>27</v>
      </c>
      <c r="D1283">
        <v>2013</v>
      </c>
      <c r="E1283">
        <v>90573103</v>
      </c>
      <c r="F1283">
        <v>488172621311</v>
      </c>
      <c r="G1283">
        <v>124.46</v>
      </c>
      <c r="H1283">
        <v>126.79</v>
      </c>
      <c r="I1283">
        <v>0.01</v>
      </c>
      <c r="J1283">
        <v>7.0000000000000007E-2</v>
      </c>
      <c r="K1283">
        <v>57.96</v>
      </c>
      <c r="L1283">
        <v>57.82</v>
      </c>
      <c r="M1283">
        <v>0</v>
      </c>
      <c r="N1283">
        <v>66.5</v>
      </c>
      <c r="O1283">
        <v>8.0000000000000002E-3</v>
      </c>
      <c r="P1283">
        <v>5.6000000000000001E-2</v>
      </c>
      <c r="Q1283">
        <v>46.569000000000003</v>
      </c>
      <c r="R1283">
        <v>53.430999999999997</v>
      </c>
      <c r="S1283">
        <v>46.569000000000003</v>
      </c>
      <c r="T1283">
        <v>371.36</v>
      </c>
      <c r="U1283">
        <v>0.04</v>
      </c>
      <c r="V1283">
        <v>0</v>
      </c>
      <c r="W1283">
        <v>75</v>
      </c>
      <c r="X1283">
        <v>8.5</v>
      </c>
    </row>
    <row r="1284" spans="1:25" x14ac:dyDescent="0.25">
      <c r="A1284" t="s">
        <v>139</v>
      </c>
      <c r="B1284" t="s">
        <v>41</v>
      </c>
      <c r="C1284" t="s">
        <v>27</v>
      </c>
      <c r="D1284">
        <v>2014</v>
      </c>
      <c r="E1284">
        <v>91679582</v>
      </c>
      <c r="F1284">
        <v>519523061605</v>
      </c>
      <c r="G1284">
        <v>141.25</v>
      </c>
      <c r="H1284">
        <v>142.69</v>
      </c>
      <c r="I1284">
        <v>0.01</v>
      </c>
      <c r="J1284">
        <v>7.0000000000000007E-2</v>
      </c>
      <c r="K1284">
        <v>62.3</v>
      </c>
      <c r="L1284">
        <v>62.16</v>
      </c>
      <c r="M1284">
        <v>0</v>
      </c>
      <c r="N1284">
        <v>78.95</v>
      </c>
      <c r="O1284">
        <v>7.0000000000000001E-3</v>
      </c>
      <c r="P1284">
        <v>0.05</v>
      </c>
      <c r="Q1284">
        <v>44.106000000000002</v>
      </c>
      <c r="R1284">
        <v>55.893999999999998</v>
      </c>
      <c r="S1284">
        <v>44.106000000000002</v>
      </c>
      <c r="T1284">
        <v>401.13</v>
      </c>
      <c r="U1284">
        <v>0.04</v>
      </c>
      <c r="V1284">
        <v>0</v>
      </c>
      <c r="W1284">
        <v>0</v>
      </c>
      <c r="X1284">
        <v>7.5</v>
      </c>
    </row>
    <row r="1285" spans="1:25" x14ac:dyDescent="0.25">
      <c r="A1285" t="s">
        <v>139</v>
      </c>
      <c r="B1285" t="s">
        <v>41</v>
      </c>
      <c r="C1285" t="s">
        <v>27</v>
      </c>
      <c r="D1285">
        <v>2015</v>
      </c>
      <c r="E1285">
        <v>92823254</v>
      </c>
      <c r="F1285">
        <v>555822142751</v>
      </c>
      <c r="G1285">
        <v>161.93</v>
      </c>
      <c r="H1285">
        <v>162.91</v>
      </c>
      <c r="I1285">
        <v>0.01</v>
      </c>
      <c r="J1285">
        <v>0.12</v>
      </c>
      <c r="K1285">
        <v>56.32</v>
      </c>
      <c r="L1285">
        <v>56.12</v>
      </c>
      <c r="M1285">
        <v>0</v>
      </c>
      <c r="N1285">
        <v>105.61</v>
      </c>
      <c r="O1285">
        <v>6.0000000000000001E-3</v>
      </c>
      <c r="P1285">
        <v>7.3999999999999996E-2</v>
      </c>
      <c r="Q1285">
        <v>34.78</v>
      </c>
      <c r="R1285">
        <v>65.22</v>
      </c>
      <c r="S1285">
        <v>34.78</v>
      </c>
      <c r="T1285">
        <v>483.73</v>
      </c>
      <c r="U1285">
        <v>0.06</v>
      </c>
      <c r="V1285">
        <v>0</v>
      </c>
      <c r="W1285">
        <v>71.400000000000006</v>
      </c>
      <c r="X1285">
        <v>-9.6</v>
      </c>
    </row>
    <row r="1286" spans="1:25" x14ac:dyDescent="0.25">
      <c r="A1286" t="s">
        <v>139</v>
      </c>
      <c r="B1286" t="s">
        <v>41</v>
      </c>
      <c r="C1286" t="s">
        <v>27</v>
      </c>
      <c r="D1286">
        <v>2016</v>
      </c>
      <c r="E1286">
        <v>94000115</v>
      </c>
      <c r="F1286">
        <v>593006635951</v>
      </c>
      <c r="G1286">
        <v>179.17</v>
      </c>
      <c r="H1286">
        <v>180.5</v>
      </c>
      <c r="I1286">
        <v>0.01</v>
      </c>
      <c r="J1286">
        <v>0.2</v>
      </c>
      <c r="K1286">
        <v>64.27</v>
      </c>
      <c r="L1286">
        <v>63.94</v>
      </c>
      <c r="M1286">
        <v>0</v>
      </c>
      <c r="N1286">
        <v>114.9</v>
      </c>
      <c r="O1286">
        <v>6.0000000000000001E-3</v>
      </c>
      <c r="P1286">
        <v>0.112</v>
      </c>
      <c r="Q1286">
        <v>35.871000000000002</v>
      </c>
      <c r="R1286">
        <v>64.129000000000005</v>
      </c>
      <c r="S1286">
        <v>35.871000000000002</v>
      </c>
      <c r="T1286">
        <v>489.09</v>
      </c>
      <c r="U1286">
        <v>0.09</v>
      </c>
      <c r="V1286">
        <v>0</v>
      </c>
      <c r="W1286">
        <v>66.7</v>
      </c>
      <c r="X1286">
        <v>14.1</v>
      </c>
    </row>
    <row r="1287" spans="1:25" x14ac:dyDescent="0.25">
      <c r="A1287" t="s">
        <v>139</v>
      </c>
      <c r="B1287" t="s">
        <v>41</v>
      </c>
      <c r="C1287" t="s">
        <v>27</v>
      </c>
      <c r="D1287">
        <v>2017</v>
      </c>
      <c r="E1287">
        <v>95176978</v>
      </c>
      <c r="F1287">
        <v>634161327073</v>
      </c>
      <c r="G1287">
        <v>194.72</v>
      </c>
      <c r="H1287">
        <v>195.43</v>
      </c>
      <c r="I1287">
        <v>0.01</v>
      </c>
      <c r="J1287">
        <v>0.35</v>
      </c>
      <c r="K1287">
        <v>86.51</v>
      </c>
      <c r="L1287">
        <v>85.94</v>
      </c>
      <c r="M1287">
        <v>0</v>
      </c>
      <c r="N1287">
        <v>108.21</v>
      </c>
      <c r="O1287">
        <v>5.0000000000000001E-3</v>
      </c>
      <c r="P1287">
        <v>0.18</v>
      </c>
      <c r="Q1287">
        <v>44.427999999999997</v>
      </c>
      <c r="R1287">
        <v>55.572000000000003</v>
      </c>
      <c r="S1287">
        <v>44.427999999999997</v>
      </c>
      <c r="T1287">
        <v>430.52</v>
      </c>
      <c r="U1287">
        <v>0.16</v>
      </c>
      <c r="V1287">
        <v>0</v>
      </c>
      <c r="W1287">
        <v>75</v>
      </c>
      <c r="X1287">
        <v>34.6</v>
      </c>
    </row>
    <row r="1288" spans="1:25" x14ac:dyDescent="0.25">
      <c r="A1288" t="s">
        <v>139</v>
      </c>
      <c r="B1288" t="s">
        <v>41</v>
      </c>
      <c r="C1288" t="s">
        <v>27</v>
      </c>
      <c r="D1288">
        <v>2018</v>
      </c>
      <c r="E1288">
        <v>96237319</v>
      </c>
      <c r="F1288">
        <v>681501440291</v>
      </c>
      <c r="G1288">
        <v>217.18</v>
      </c>
      <c r="H1288">
        <v>218.8</v>
      </c>
      <c r="I1288">
        <v>0.02</v>
      </c>
      <c r="J1288">
        <v>0.49</v>
      </c>
      <c r="K1288">
        <v>84.08</v>
      </c>
      <c r="L1288">
        <v>83.08</v>
      </c>
      <c r="M1288">
        <v>0</v>
      </c>
      <c r="N1288">
        <v>133.1</v>
      </c>
      <c r="O1288">
        <v>8.9999999999999993E-3</v>
      </c>
      <c r="P1288">
        <v>0.22600000000000001</v>
      </c>
      <c r="Q1288">
        <v>38.713999999999999</v>
      </c>
      <c r="R1288">
        <v>61.286000000000001</v>
      </c>
      <c r="S1288">
        <v>38.713999999999999</v>
      </c>
      <c r="T1288">
        <v>482.87</v>
      </c>
      <c r="U1288">
        <v>0.23</v>
      </c>
      <c r="V1288">
        <v>100</v>
      </c>
      <c r="W1288">
        <v>40</v>
      </c>
      <c r="X1288">
        <v>-2.8</v>
      </c>
    </row>
    <row r="1289" spans="1:25" x14ac:dyDescent="0.25">
      <c r="A1289" t="s">
        <v>139</v>
      </c>
      <c r="B1289" t="s">
        <v>41</v>
      </c>
      <c r="C1289" t="s">
        <v>27</v>
      </c>
      <c r="D1289">
        <v>2019</v>
      </c>
      <c r="E1289">
        <v>97173778</v>
      </c>
      <c r="F1289">
        <v>731653148132</v>
      </c>
      <c r="G1289">
        <v>236.89</v>
      </c>
      <c r="H1289">
        <v>238.14</v>
      </c>
      <c r="I1289">
        <v>4.82</v>
      </c>
      <c r="J1289">
        <v>0.72</v>
      </c>
      <c r="K1289">
        <v>72.010000000000005</v>
      </c>
      <c r="L1289">
        <v>66.12</v>
      </c>
      <c r="M1289">
        <v>0</v>
      </c>
      <c r="N1289">
        <v>164.88</v>
      </c>
      <c r="O1289">
        <v>2.0350000000000001</v>
      </c>
      <c r="P1289">
        <v>0.30399999999999999</v>
      </c>
      <c r="Q1289">
        <v>30.398</v>
      </c>
      <c r="R1289">
        <v>69.602000000000004</v>
      </c>
      <c r="S1289">
        <v>30.398</v>
      </c>
      <c r="T1289">
        <v>553.89</v>
      </c>
      <c r="U1289">
        <v>2.4900000000000002</v>
      </c>
      <c r="V1289">
        <v>24000</v>
      </c>
      <c r="W1289">
        <v>46.9</v>
      </c>
      <c r="X1289">
        <v>-14.4</v>
      </c>
    </row>
    <row r="1290" spans="1:25" x14ac:dyDescent="0.25">
      <c r="A1290" t="s">
        <v>139</v>
      </c>
      <c r="B1290" t="s">
        <v>41</v>
      </c>
      <c r="C1290" t="s">
        <v>27</v>
      </c>
      <c r="D1290">
        <v>2020</v>
      </c>
      <c r="E1290">
        <v>98079196</v>
      </c>
      <c r="F1290">
        <v>752629620043</v>
      </c>
      <c r="G1290">
        <v>244</v>
      </c>
      <c r="H1290">
        <v>245.51</v>
      </c>
      <c r="I1290">
        <v>10.76</v>
      </c>
      <c r="J1290">
        <v>0.98</v>
      </c>
      <c r="K1290">
        <v>84.95</v>
      </c>
      <c r="L1290">
        <v>72.87</v>
      </c>
      <c r="M1290">
        <v>0</v>
      </c>
      <c r="N1290">
        <v>159.05000000000001</v>
      </c>
      <c r="O1290">
        <v>4.41</v>
      </c>
      <c r="P1290">
        <v>0.40200000000000002</v>
      </c>
      <c r="Q1290">
        <v>34.816000000000003</v>
      </c>
      <c r="R1290">
        <v>65.183999999999997</v>
      </c>
      <c r="S1290">
        <v>34.816000000000003</v>
      </c>
      <c r="T1290">
        <v>528.44000000000005</v>
      </c>
      <c r="U1290">
        <v>5.28</v>
      </c>
      <c r="V1290">
        <v>123.2</v>
      </c>
      <c r="W1290">
        <v>36.1</v>
      </c>
      <c r="X1290">
        <v>18</v>
      </c>
    </row>
    <row r="1291" spans="1:25" x14ac:dyDescent="0.25">
      <c r="A1291" t="s">
        <v>139</v>
      </c>
      <c r="B1291" t="s">
        <v>41</v>
      </c>
      <c r="C1291" t="s">
        <v>27</v>
      </c>
      <c r="D1291">
        <v>2021</v>
      </c>
      <c r="E1291">
        <v>98935101</v>
      </c>
      <c r="F1291">
        <v>771912038182</v>
      </c>
      <c r="G1291">
        <v>253.61</v>
      </c>
      <c r="H1291">
        <v>254.43</v>
      </c>
      <c r="I1291">
        <v>26.15</v>
      </c>
      <c r="J1291">
        <v>3.34</v>
      </c>
      <c r="K1291">
        <v>108.48</v>
      </c>
      <c r="L1291">
        <v>78.67</v>
      </c>
      <c r="M1291">
        <v>0</v>
      </c>
      <c r="N1291">
        <v>145.13</v>
      </c>
      <c r="O1291">
        <v>10.311</v>
      </c>
      <c r="P1291">
        <v>1.3169999999999999</v>
      </c>
      <c r="Q1291">
        <v>42.774000000000001</v>
      </c>
      <c r="R1291">
        <v>57.225999999999999</v>
      </c>
      <c r="S1291">
        <v>42.774000000000001</v>
      </c>
      <c r="T1291">
        <v>475.06</v>
      </c>
      <c r="U1291">
        <v>13.27</v>
      </c>
      <c r="V1291">
        <v>143</v>
      </c>
      <c r="W1291">
        <v>240.8</v>
      </c>
      <c r="X1291">
        <v>27.7</v>
      </c>
      <c r="Y1291" t="s">
        <v>140</v>
      </c>
    </row>
    <row r="1292" spans="1:25" x14ac:dyDescent="0.25">
      <c r="A1292" t="s">
        <v>139</v>
      </c>
      <c r="B1292" t="s">
        <v>41</v>
      </c>
      <c r="C1292" t="s">
        <v>27</v>
      </c>
      <c r="D1292">
        <v>2022</v>
      </c>
      <c r="E1292">
        <v>99680656</v>
      </c>
      <c r="F1292">
        <v>833803909046</v>
      </c>
      <c r="G1292">
        <v>265.11</v>
      </c>
      <c r="H1292">
        <v>267.43</v>
      </c>
      <c r="I1292">
        <v>25.75</v>
      </c>
      <c r="J1292">
        <v>9.09</v>
      </c>
      <c r="K1292">
        <v>131.13</v>
      </c>
      <c r="L1292">
        <v>95.91</v>
      </c>
      <c r="M1292">
        <v>0</v>
      </c>
      <c r="N1292">
        <v>133.97999999999999</v>
      </c>
      <c r="O1292">
        <v>9.7129999999999992</v>
      </c>
      <c r="P1292">
        <v>3.4289999999999998</v>
      </c>
      <c r="Q1292">
        <v>49.462000000000003</v>
      </c>
      <c r="R1292">
        <v>50.537999999999997</v>
      </c>
      <c r="S1292">
        <v>49.462000000000003</v>
      </c>
      <c r="T1292">
        <v>415.41</v>
      </c>
      <c r="U1292">
        <v>15.68</v>
      </c>
      <c r="V1292">
        <v>-1.5</v>
      </c>
      <c r="W1292">
        <v>172.2</v>
      </c>
      <c r="X1292">
        <v>20.9</v>
      </c>
    </row>
    <row r="1293" spans="1:25" x14ac:dyDescent="0.25">
      <c r="A1293" t="s">
        <v>139</v>
      </c>
      <c r="B1293" t="s">
        <v>41</v>
      </c>
      <c r="C1293" t="s">
        <v>27</v>
      </c>
      <c r="D1293">
        <v>2023</v>
      </c>
      <c r="E1293">
        <v>100352189</v>
      </c>
      <c r="G1293">
        <v>276.58999999999997</v>
      </c>
      <c r="H1293">
        <v>280.07</v>
      </c>
      <c r="I1293">
        <v>25.69</v>
      </c>
      <c r="J1293">
        <v>11.59</v>
      </c>
      <c r="K1293">
        <v>118.77</v>
      </c>
      <c r="L1293">
        <v>80.62</v>
      </c>
      <c r="M1293">
        <v>0</v>
      </c>
      <c r="N1293">
        <v>157.82</v>
      </c>
      <c r="O1293">
        <v>9.2880000000000003</v>
      </c>
      <c r="P1293">
        <v>4.1900000000000004</v>
      </c>
      <c r="Q1293">
        <v>42.941000000000003</v>
      </c>
      <c r="R1293">
        <v>57.058999999999997</v>
      </c>
      <c r="S1293">
        <v>42.941000000000003</v>
      </c>
      <c r="T1293">
        <v>472.4</v>
      </c>
      <c r="U1293">
        <v>16.78</v>
      </c>
      <c r="V1293">
        <v>-0.2</v>
      </c>
      <c r="W1293">
        <v>27.5</v>
      </c>
      <c r="X1293">
        <v>-9.4</v>
      </c>
    </row>
    <row r="1294" spans="1:25" x14ac:dyDescent="0.25">
      <c r="A1294" t="s">
        <v>139</v>
      </c>
      <c r="B1294" t="s">
        <v>41</v>
      </c>
      <c r="C1294" t="s">
        <v>27</v>
      </c>
      <c r="D1294">
        <v>2024</v>
      </c>
      <c r="E1294">
        <v>100987685</v>
      </c>
      <c r="G1294">
        <v>303.58</v>
      </c>
      <c r="H1294">
        <v>307.18</v>
      </c>
      <c r="I1294">
        <v>25.86</v>
      </c>
      <c r="J1294">
        <v>12.75</v>
      </c>
      <c r="K1294">
        <v>128.36000000000001</v>
      </c>
      <c r="L1294">
        <v>88.72</v>
      </c>
      <c r="M1294">
        <v>0</v>
      </c>
      <c r="N1294">
        <v>175.22</v>
      </c>
      <c r="O1294">
        <v>8.5180000000000007</v>
      </c>
      <c r="P1294">
        <v>4.2</v>
      </c>
      <c r="Q1294">
        <v>42.281999999999996</v>
      </c>
      <c r="R1294">
        <v>57.718000000000004</v>
      </c>
      <c r="S1294">
        <v>42.281999999999996</v>
      </c>
      <c r="T1294">
        <v>484.32</v>
      </c>
      <c r="U1294">
        <v>17.37</v>
      </c>
      <c r="V1294">
        <v>0.7</v>
      </c>
      <c r="W1294">
        <v>10</v>
      </c>
      <c r="X1294">
        <v>8.1</v>
      </c>
    </row>
    <row r="1295" spans="1:25" x14ac:dyDescent="0.25">
      <c r="A1295" t="s">
        <v>139</v>
      </c>
      <c r="B1295" t="s">
        <v>41</v>
      </c>
      <c r="C1295" t="s">
        <v>27</v>
      </c>
      <c r="D1295">
        <v>2025</v>
      </c>
      <c r="E1295">
        <v>101598530</v>
      </c>
      <c r="G1295">
        <v>309.99</v>
      </c>
      <c r="H1295">
        <v>313.58999999999997</v>
      </c>
      <c r="I1295">
        <v>23.04</v>
      </c>
      <c r="J1295">
        <v>14.37</v>
      </c>
      <c r="K1295">
        <v>140.79</v>
      </c>
      <c r="L1295">
        <v>102.35</v>
      </c>
      <c r="M1295">
        <v>0</v>
      </c>
      <c r="N1295">
        <v>169.2</v>
      </c>
      <c r="O1295">
        <v>7.4320000000000004</v>
      </c>
      <c r="P1295">
        <v>4.6360000000000001</v>
      </c>
      <c r="Q1295">
        <v>45.417999999999999</v>
      </c>
      <c r="R1295">
        <v>54.582000000000001</v>
      </c>
      <c r="S1295">
        <v>45.417999999999999</v>
      </c>
      <c r="T1295">
        <v>460.73</v>
      </c>
      <c r="U1295">
        <v>16.829999999999998</v>
      </c>
      <c r="V1295">
        <v>-10.9</v>
      </c>
      <c r="W1295">
        <v>12.7</v>
      </c>
      <c r="X1295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280B-44DB-4535-B30F-A39C123621CB}">
  <dimension ref="A1:F51"/>
  <sheetViews>
    <sheetView tabSelected="1" workbookViewId="0">
      <selection activeCell="J11" sqref="J11"/>
    </sheetView>
  </sheetViews>
  <sheetFormatPr defaultRowHeight="15" x14ac:dyDescent="0.25"/>
  <cols>
    <col min="1" max="1" width="16.7109375" customWidth="1"/>
    <col min="2" max="2" width="21.28515625" customWidth="1"/>
    <col min="3" max="3" width="20.5703125" customWidth="1"/>
    <col min="4" max="4" width="16.5703125" customWidth="1"/>
    <col min="5" max="5" width="24" customWidth="1"/>
    <col min="6" max="6" width="22.5703125" customWidth="1"/>
  </cols>
  <sheetData>
    <row r="1" spans="1:6" x14ac:dyDescent="0.25">
      <c r="A1" t="s">
        <v>0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</row>
    <row r="2" spans="1:6" x14ac:dyDescent="0.25">
      <c r="A2" t="s">
        <v>137</v>
      </c>
      <c r="B2">
        <f>AVERAGEIFS(global_renewable_energy_transit!Q:Q,global_renewable_energy_transit!A:A,A2,global_renewable_energy_transit!D:D,2024)</f>
        <v>91.138999999999996</v>
      </c>
      <c r="C2">
        <f>AVERAGEIFS(global_renewable_energy_transit!Q:Q,global_renewable_energy_transit!A:A,A2,global_renewable_energy_transit!D:D,2000)</f>
        <v>73.754000000000005</v>
      </c>
      <c r="D2">
        <f>B2-C2</f>
        <v>17.384999999999991</v>
      </c>
      <c r="E2">
        <f>AVERAGEIFS(global_renewable_energy_transit!S:S,global_renewable_energy_transit!A:A,A2,global_renewable_energy_transit!D:D,2024)</f>
        <v>91.138999999999996</v>
      </c>
      <c r="F2">
        <f>((B2/100)*0.5)+((D2/100)*0.3)+((1-(E2/1000))*0.2)</f>
        <v>0.68962219999999996</v>
      </c>
    </row>
    <row r="3" spans="1:6" x14ac:dyDescent="0.25">
      <c r="A3" t="s">
        <v>97</v>
      </c>
      <c r="B3">
        <f>AVERAGEIFS(global_renewable_energy_transit!Q:Q,global_renewable_energy_transit!A:A,A3,global_renewable_energy_transit!D:D,2024)</f>
        <v>98.605999999999995</v>
      </c>
      <c r="C3">
        <f>AVERAGEIFS(global_renewable_energy_transit!Q:Q,global_renewable_energy_transit!A:A,A3,global_renewable_energy_transit!D:D,2000)</f>
        <v>99.712000000000003</v>
      </c>
      <c r="D3">
        <f>B3-C3</f>
        <v>-1.1060000000000088</v>
      </c>
      <c r="E3">
        <f>AVERAGEIFS(global_renewable_energy_transit!S:S,global_renewable_energy_transit!A:A,A3,global_renewable_energy_transit!D:D,2024)</f>
        <v>98.605999999999995</v>
      </c>
      <c r="F3">
        <f t="shared" ref="F3:F51" si="0">((B3/100)*0.5)+((D3/100)*0.3)+((1-(E3/1000))*0.2)</f>
        <v>0.66999079999999989</v>
      </c>
    </row>
    <row r="4" spans="1:6" x14ac:dyDescent="0.25">
      <c r="A4" t="s">
        <v>37</v>
      </c>
      <c r="B4">
        <f>AVERAGEIFS(global_renewable_energy_transit!Q:Q,global_renewable_energy_transit!A:A,A4,global_renewable_energy_transit!D:D,2024)</f>
        <v>86.224000000000004</v>
      </c>
      <c r="C4">
        <f>AVERAGEIFS(global_renewable_energy_transit!Q:Q,global_renewable_energy_transit!A:A,A4,global_renewable_energy_transit!D:D,2000)</f>
        <v>72.837000000000003</v>
      </c>
      <c r="D4">
        <f>B4-C4</f>
        <v>13.387</v>
      </c>
      <c r="E4">
        <f>AVERAGEIFS(global_renewable_energy_transit!S:S,global_renewable_energy_transit!A:A,A4,global_renewable_energy_transit!D:D,2024)</f>
        <v>86.224000000000004</v>
      </c>
      <c r="F4">
        <f t="shared" si="0"/>
        <v>0.65403619999999996</v>
      </c>
    </row>
    <row r="5" spans="1:6" x14ac:dyDescent="0.25">
      <c r="A5" t="s">
        <v>68</v>
      </c>
      <c r="B5">
        <f>AVERAGEIFS(global_renewable_energy_transit!Q:Q,global_renewable_energy_transit!A:A,A5,global_renewable_energy_transit!D:D,2024)</f>
        <v>58.642000000000003</v>
      </c>
      <c r="C5">
        <f>AVERAGEIFS(global_renewable_energy_transit!Q:Q,global_renewable_energy_transit!A:A,A5,global_renewable_energy_transit!D:D,2000)</f>
        <v>6.2240000000000002</v>
      </c>
      <c r="D5">
        <f>B5-C5</f>
        <v>52.418000000000006</v>
      </c>
      <c r="E5">
        <f>AVERAGEIFS(global_renewable_energy_transit!S:S,global_renewable_energy_transit!A:A,A5,global_renewable_energy_transit!D:D,2024)</f>
        <v>58.642000000000003</v>
      </c>
      <c r="F5">
        <f t="shared" si="0"/>
        <v>0.63873560000000007</v>
      </c>
    </row>
    <row r="6" spans="1:6" x14ac:dyDescent="0.25">
      <c r="A6" t="s">
        <v>45</v>
      </c>
      <c r="B6">
        <f>AVERAGEIFS(global_renewable_energy_transit!Q:Q,global_renewable_energy_transit!A:A,A6,global_renewable_energy_transit!D:D,2024)</f>
        <v>87.332999999999998</v>
      </c>
      <c r="C6">
        <f>AVERAGEIFS(global_renewable_energy_transit!Q:Q,global_renewable_energy_transit!A:A,A6,global_renewable_energy_transit!D:D,2000)</f>
        <v>89.491</v>
      </c>
      <c r="D6">
        <f>B6-C6</f>
        <v>-2.1580000000000013</v>
      </c>
      <c r="E6">
        <f>AVERAGEIFS(global_renewable_energy_transit!S:S,global_renewable_energy_transit!A:A,A6,global_renewable_energy_transit!D:D,2024)</f>
        <v>89.448999999999998</v>
      </c>
      <c r="F6">
        <f t="shared" si="0"/>
        <v>0.61230119999999999</v>
      </c>
    </row>
    <row r="7" spans="1:6" x14ac:dyDescent="0.25">
      <c r="A7" t="s">
        <v>50</v>
      </c>
      <c r="B7">
        <f>AVERAGEIFS(global_renewable_energy_transit!Q:Q,global_renewable_energy_transit!A:A,A7,global_renewable_energy_transit!D:D,2024)</f>
        <v>70.040999999999997</v>
      </c>
      <c r="C7">
        <f>AVERAGEIFS(global_renewable_energy_transit!Q:Q,global_renewable_energy_transit!A:A,A7,global_renewable_energy_transit!D:D,2000)</f>
        <v>49.83</v>
      </c>
      <c r="D7">
        <f>B7-C7</f>
        <v>20.210999999999999</v>
      </c>
      <c r="E7">
        <f>AVERAGEIFS(global_renewable_energy_transit!S:S,global_renewable_energy_transit!A:A,A7,global_renewable_energy_transit!D:D,2024)</f>
        <v>70.040999999999997</v>
      </c>
      <c r="F7">
        <f t="shared" si="0"/>
        <v>0.59682979999999997</v>
      </c>
    </row>
    <row r="8" spans="1:6" x14ac:dyDescent="0.25">
      <c r="A8" t="s">
        <v>116</v>
      </c>
      <c r="B8">
        <f>AVERAGEIFS(global_renewable_energy_transit!Q:Q,global_renewable_energy_transit!A:A,A8,global_renewable_energy_transit!D:D,2024)</f>
        <v>57.335999999999999</v>
      </c>
      <c r="C8">
        <f>AVERAGEIFS(global_renewable_energy_transit!Q:Q,global_renewable_energy_transit!A:A,A8,global_renewable_energy_transit!D:D,2000)</f>
        <v>15.612</v>
      </c>
      <c r="D8">
        <f>B8-C8</f>
        <v>41.723999999999997</v>
      </c>
      <c r="E8">
        <f>AVERAGEIFS(global_renewable_energy_transit!S:S,global_renewable_energy_transit!A:A,A8,global_renewable_energy_transit!D:D,2024)</f>
        <v>76.745999999999995</v>
      </c>
      <c r="F8">
        <f t="shared" si="0"/>
        <v>0.5965028</v>
      </c>
    </row>
    <row r="9" spans="1:6" x14ac:dyDescent="0.25">
      <c r="A9" t="s">
        <v>95</v>
      </c>
      <c r="B9">
        <f>AVERAGEIFS(global_renewable_energy_transit!Q:Q,global_renewable_energy_transit!A:A,A9,global_renewable_energy_transit!D:D,2024)</f>
        <v>50.74</v>
      </c>
      <c r="C9">
        <f>AVERAGEIFS(global_renewable_energy_transit!Q:Q,global_renewable_energy_transit!A:A,A9,global_renewable_energy_transit!D:D,2000)</f>
        <v>3.3730000000000002</v>
      </c>
      <c r="D9">
        <f>B9-C9</f>
        <v>47.367000000000004</v>
      </c>
      <c r="E9">
        <f>AVERAGEIFS(global_renewable_energy_transit!S:S,global_renewable_energy_transit!A:A,A9,global_renewable_energy_transit!D:D,2024)</f>
        <v>53.658000000000001</v>
      </c>
      <c r="F9">
        <f t="shared" si="0"/>
        <v>0.58506940000000007</v>
      </c>
    </row>
    <row r="10" spans="1:6" x14ac:dyDescent="0.25">
      <c r="A10" t="s">
        <v>129</v>
      </c>
      <c r="B10">
        <f>AVERAGEIFS(global_renewable_energy_transit!Q:Q,global_renewable_energy_transit!A:A,A10,global_renewable_energy_transit!D:D,2024)</f>
        <v>50.648000000000003</v>
      </c>
      <c r="C10">
        <f>AVERAGEIFS(global_renewable_energy_transit!Q:Q,global_renewable_energy_transit!A:A,A10,global_renewable_energy_transit!D:D,2000)</f>
        <v>2.6280000000000001</v>
      </c>
      <c r="D10">
        <f>B10-C10</f>
        <v>48.02</v>
      </c>
      <c r="E10">
        <f>AVERAGEIFS(global_renewable_energy_transit!S:S,global_renewable_energy_transit!A:A,A10,global_renewable_energy_transit!D:D,2024)</f>
        <v>64.932000000000002</v>
      </c>
      <c r="F10">
        <f t="shared" si="0"/>
        <v>0.58431359999999999</v>
      </c>
    </row>
    <row r="11" spans="1:6" x14ac:dyDescent="0.25">
      <c r="A11" t="s">
        <v>118</v>
      </c>
      <c r="B11">
        <f>AVERAGEIFS(global_renewable_energy_transit!Q:Q,global_renewable_energy_transit!A:A,A11,global_renewable_energy_transit!D:D,2024)</f>
        <v>69.358000000000004</v>
      </c>
      <c r="C11">
        <f>AVERAGEIFS(global_renewable_energy_transit!Q:Q,global_renewable_energy_transit!A:A,A11,global_renewable_energy_transit!D:D,2000)</f>
        <v>57.247</v>
      </c>
      <c r="D11">
        <f>B11-C11</f>
        <v>12.111000000000004</v>
      </c>
      <c r="E11">
        <f>AVERAGEIFS(global_renewable_energy_transit!S:S,global_renewable_energy_transit!A:A,A11,global_renewable_energy_transit!D:D,2024)</f>
        <v>98.792000000000002</v>
      </c>
      <c r="F11">
        <f t="shared" si="0"/>
        <v>0.5633646000000001</v>
      </c>
    </row>
    <row r="12" spans="1:6" x14ac:dyDescent="0.25">
      <c r="A12" t="s">
        <v>120</v>
      </c>
      <c r="B12">
        <f>AVERAGEIFS(global_renewable_energy_transit!Q:Q,global_renewable_energy_transit!A:A,A12,global_renewable_energy_transit!D:D,2024)</f>
        <v>67.448999999999998</v>
      </c>
      <c r="C12">
        <f>AVERAGEIFS(global_renewable_energy_transit!Q:Q,global_renewable_energy_transit!A:A,A12,global_renewable_energy_transit!D:D,2000)</f>
        <v>56.987000000000002</v>
      </c>
      <c r="D12">
        <f>B12-C12</f>
        <v>10.461999999999996</v>
      </c>
      <c r="E12">
        <f>AVERAGEIFS(global_renewable_energy_transit!S:S,global_renewable_energy_transit!A:A,A12,global_renewable_energy_transit!D:D,2024)</f>
        <v>98.099000000000004</v>
      </c>
      <c r="F12">
        <f t="shared" si="0"/>
        <v>0.54901120000000003</v>
      </c>
    </row>
    <row r="13" spans="1:6" x14ac:dyDescent="0.25">
      <c r="A13" t="s">
        <v>84</v>
      </c>
      <c r="B13">
        <f>AVERAGEIFS(global_renewable_energy_transit!Q:Q,global_renewable_energy_transit!A:A,A13,global_renewable_energy_transit!D:D,2024)</f>
        <v>50.171999999999997</v>
      </c>
      <c r="C13">
        <f>AVERAGEIFS(global_renewable_energy_transit!Q:Q,global_renewable_energy_transit!A:A,A13,global_renewable_energy_transit!D:D,2000)</f>
        <v>18.844999999999999</v>
      </c>
      <c r="D13">
        <f>B13-C13</f>
        <v>31.326999999999998</v>
      </c>
      <c r="E13">
        <f>AVERAGEIFS(global_renewable_energy_transit!S:S,global_renewable_energy_transit!A:A,A13,global_renewable_energy_transit!D:D,2024)</f>
        <v>50.171999999999997</v>
      </c>
      <c r="F13">
        <f t="shared" si="0"/>
        <v>0.53480660000000002</v>
      </c>
    </row>
    <row r="14" spans="1:6" x14ac:dyDescent="0.25">
      <c r="A14" t="s">
        <v>63</v>
      </c>
      <c r="B14">
        <f>AVERAGEIFS(global_renewable_energy_transit!Q:Q,global_renewable_energy_transit!A:A,A14,global_renewable_energy_transit!D:D,2024)</f>
        <v>55.856999999999999</v>
      </c>
      <c r="C14">
        <f>AVERAGEIFS(global_renewable_energy_transit!Q:Q,global_renewable_energy_transit!A:A,A14,global_renewable_energy_transit!D:D,2000)</f>
        <v>33.414000000000001</v>
      </c>
      <c r="D14">
        <f>B14-C14</f>
        <v>22.442999999999998</v>
      </c>
      <c r="E14">
        <f>AVERAGEIFS(global_renewable_energy_transit!S:S,global_renewable_energy_transit!A:A,A14,global_renewable_energy_transit!D:D,2024)</f>
        <v>95.347999999999999</v>
      </c>
      <c r="F14">
        <f t="shared" si="0"/>
        <v>0.52754440000000002</v>
      </c>
    </row>
    <row r="15" spans="1:6" x14ac:dyDescent="0.25">
      <c r="A15" t="s">
        <v>47</v>
      </c>
      <c r="B15">
        <f>AVERAGEIFS(global_renewable_energy_transit!Q:Q,global_renewable_energy_transit!A:A,A15,global_renewable_energy_transit!D:D,2024)</f>
        <v>64.272000000000006</v>
      </c>
      <c r="C15">
        <f>AVERAGEIFS(global_renewable_energy_transit!Q:Q,global_renewable_energy_transit!A:A,A15,global_renewable_energy_transit!D:D,2000)</f>
        <v>60.606999999999999</v>
      </c>
      <c r="D15">
        <f>B15-C15</f>
        <v>3.6650000000000063</v>
      </c>
      <c r="E15">
        <f>AVERAGEIFS(global_renewable_energy_transit!S:S,global_renewable_energy_transit!A:A,A15,global_renewable_energy_transit!D:D,2024)</f>
        <v>77.694000000000003</v>
      </c>
      <c r="F15">
        <f t="shared" si="0"/>
        <v>0.51681620000000006</v>
      </c>
    </row>
    <row r="16" spans="1:6" x14ac:dyDescent="0.25">
      <c r="A16" t="s">
        <v>126</v>
      </c>
      <c r="B16">
        <f>AVERAGEIFS(global_renewable_energy_transit!Q:Q,global_renewable_energy_transit!A:A,A16,global_renewable_energy_transit!D:D,2024)</f>
        <v>45.613999999999997</v>
      </c>
      <c r="C16">
        <f>AVERAGEIFS(global_renewable_energy_transit!Q:Q,global_renewable_energy_transit!A:A,A16,global_renewable_energy_transit!D:D,2000)</f>
        <v>25.052</v>
      </c>
      <c r="D16">
        <f>B16-C16</f>
        <v>20.561999999999998</v>
      </c>
      <c r="E16">
        <f>AVERAGEIFS(global_renewable_energy_transit!S:S,global_renewable_energy_transit!A:A,A16,global_renewable_energy_transit!D:D,2024)</f>
        <v>45.613999999999997</v>
      </c>
      <c r="F16">
        <f t="shared" si="0"/>
        <v>0.48063319999999998</v>
      </c>
    </row>
    <row r="17" spans="1:6" x14ac:dyDescent="0.25">
      <c r="A17" t="s">
        <v>107</v>
      </c>
      <c r="B17">
        <f>AVERAGEIFS(global_renewable_energy_transit!Q:Q,global_renewable_energy_transit!A:A,A17,global_renewable_energy_transit!D:D,2024)</f>
        <v>46.51</v>
      </c>
      <c r="C17">
        <f>AVERAGEIFS(global_renewable_energy_transit!Q:Q,global_renewable_energy_transit!A:A,A17,global_renewable_energy_transit!D:D,2000)</f>
        <v>28.666</v>
      </c>
      <c r="D17">
        <f>B17-C17</f>
        <v>17.843999999999998</v>
      </c>
      <c r="E17">
        <f>AVERAGEIFS(global_renewable_energy_transit!S:S,global_renewable_energy_transit!A:A,A17,global_renewable_energy_transit!D:D,2024)</f>
        <v>67.203999999999994</v>
      </c>
      <c r="F17">
        <f t="shared" si="0"/>
        <v>0.47264119999999998</v>
      </c>
    </row>
    <row r="18" spans="1:6" x14ac:dyDescent="0.25">
      <c r="A18" t="s">
        <v>43</v>
      </c>
      <c r="B18">
        <f>AVERAGEIFS(global_renewable_energy_transit!Q:Q,global_renewable_energy_transit!A:A,A18,global_renewable_energy_transit!D:D,2024)</f>
        <v>35.231999999999999</v>
      </c>
      <c r="C18">
        <f>AVERAGEIFS(global_renewable_energy_transit!Q:Q,global_renewable_energy_transit!A:A,A18,global_renewable_energy_transit!D:D,2000)</f>
        <v>1.268</v>
      </c>
      <c r="D18">
        <f>B18-C18</f>
        <v>33.963999999999999</v>
      </c>
      <c r="E18">
        <f>AVERAGEIFS(global_renewable_energy_transit!S:S,global_renewable_energy_transit!A:A,A18,global_renewable_energy_transit!D:D,2024)</f>
        <v>76.344999999999999</v>
      </c>
      <c r="F18">
        <f t="shared" si="0"/>
        <v>0.46278299999999994</v>
      </c>
    </row>
    <row r="19" spans="1:6" x14ac:dyDescent="0.25">
      <c r="A19" t="s">
        <v>57</v>
      </c>
      <c r="B19">
        <f>AVERAGEIFS(global_renewable_energy_transit!Q:Q,global_renewable_energy_transit!A:A,A19,global_renewable_energy_transit!D:D,2024)</f>
        <v>61.341999999999999</v>
      </c>
      <c r="C19">
        <f>AVERAGEIFS(global_renewable_energy_transit!Q:Q,global_renewable_energy_transit!A:A,A19,global_renewable_energy_transit!D:D,2000)</f>
        <v>75.355999999999995</v>
      </c>
      <c r="D19">
        <f>B19-C19</f>
        <v>-14.013999999999996</v>
      </c>
      <c r="E19">
        <f>AVERAGEIFS(global_renewable_energy_transit!S:S,global_renewable_energy_transit!A:A,A19,global_renewable_energy_transit!D:D,2024)</f>
        <v>61.341999999999999</v>
      </c>
      <c r="F19">
        <f t="shared" si="0"/>
        <v>0.45239960000000001</v>
      </c>
    </row>
    <row r="20" spans="1:6" x14ac:dyDescent="0.25">
      <c r="A20" t="s">
        <v>33</v>
      </c>
      <c r="B20">
        <f>AVERAGEIFS(global_renewable_energy_transit!Q:Q,global_renewable_energy_transit!A:A,A20,global_renewable_energy_transit!D:D,2024)</f>
        <v>35.076999999999998</v>
      </c>
      <c r="C20">
        <f>AVERAGEIFS(global_renewable_energy_transit!Q:Q,global_renewable_energy_transit!A:A,A20,global_renewable_energy_transit!D:D,2000)</f>
        <v>8.0890000000000004</v>
      </c>
      <c r="D20">
        <f>B20-C20</f>
        <v>26.988</v>
      </c>
      <c r="E20">
        <f>AVERAGEIFS(global_renewable_energy_transit!S:S,global_renewable_energy_transit!A:A,A20,global_renewable_energy_transit!D:D,2024)</f>
        <v>35.076999999999998</v>
      </c>
      <c r="F20">
        <f t="shared" si="0"/>
        <v>0.4493336</v>
      </c>
    </row>
    <row r="21" spans="1:6" x14ac:dyDescent="0.25">
      <c r="A21" t="s">
        <v>105</v>
      </c>
      <c r="B21">
        <f>AVERAGEIFS(global_renewable_energy_transit!Q:Q,global_renewable_energy_transit!A:A,A21,global_renewable_energy_transit!D:D,2024)</f>
        <v>31.146999999999998</v>
      </c>
      <c r="C21">
        <f>AVERAGEIFS(global_renewable_energy_transit!Q:Q,global_renewable_energy_transit!A:A,A21,global_renewable_energy_transit!D:D,2000)</f>
        <v>1.627</v>
      </c>
      <c r="D21">
        <f>B21-C21</f>
        <v>29.52</v>
      </c>
      <c r="E21">
        <f>AVERAGEIFS(global_renewable_energy_transit!S:S,global_renewable_energy_transit!A:A,A21,global_renewable_energy_transit!D:D,2024)</f>
        <v>31.146999999999998</v>
      </c>
      <c r="F21">
        <f t="shared" si="0"/>
        <v>0.4380656</v>
      </c>
    </row>
    <row r="22" spans="1:6" x14ac:dyDescent="0.25">
      <c r="A22" t="s">
        <v>101</v>
      </c>
      <c r="B22">
        <f>AVERAGEIFS(global_renewable_energy_transit!Q:Q,global_renewable_energy_transit!A:A,A22,global_renewable_energy_transit!D:D,2024)</f>
        <v>60.110999999999997</v>
      </c>
      <c r="C22">
        <f>AVERAGEIFS(global_renewable_energy_transit!Q:Q,global_renewable_energy_transit!A:A,A22,global_renewable_energy_transit!D:D,2000)</f>
        <v>81.977999999999994</v>
      </c>
      <c r="D22">
        <f>B22-C22</f>
        <v>-21.866999999999997</v>
      </c>
      <c r="E22">
        <f>AVERAGEIFS(global_renewable_energy_transit!S:S,global_renewable_energy_transit!A:A,A22,global_renewable_energy_transit!D:D,2024)</f>
        <v>60.110999999999997</v>
      </c>
      <c r="F22">
        <f t="shared" si="0"/>
        <v>0.42293179999999997</v>
      </c>
    </row>
    <row r="23" spans="1:6" x14ac:dyDescent="0.25">
      <c r="A23" t="s">
        <v>52</v>
      </c>
      <c r="B23">
        <f>AVERAGEIFS(global_renewable_energy_transit!Q:Q,global_renewable_energy_transit!A:A,A23,global_renewable_energy_transit!D:D,2024)</f>
        <v>33.695999999999998</v>
      </c>
      <c r="C23">
        <f>AVERAGEIFS(global_renewable_energy_transit!Q:Q,global_renewable_energy_transit!A:A,A23,global_renewable_energy_transit!D:D,2000)</f>
        <v>16.638999999999999</v>
      </c>
      <c r="D23">
        <f>B23-C23</f>
        <v>17.056999999999999</v>
      </c>
      <c r="E23">
        <f>AVERAGEIFS(global_renewable_energy_transit!S:S,global_renewable_energy_transit!A:A,A23,global_renewable_energy_transit!D:D,2024)</f>
        <v>38.164999999999999</v>
      </c>
      <c r="F23">
        <f t="shared" si="0"/>
        <v>0.412018</v>
      </c>
    </row>
    <row r="24" spans="1:6" x14ac:dyDescent="0.25">
      <c r="A24" t="s">
        <v>99</v>
      </c>
      <c r="B24">
        <f>AVERAGEIFS(global_renewable_energy_transit!Q:Q,global_renewable_energy_transit!A:A,A24,global_renewable_energy_transit!D:D,2024)</f>
        <v>37.197000000000003</v>
      </c>
      <c r="C24">
        <f>AVERAGEIFS(global_renewable_energy_transit!Q:Q,global_renewable_energy_transit!A:A,A24,global_renewable_energy_transit!D:D,2000)</f>
        <v>25.853999999999999</v>
      </c>
      <c r="D24">
        <f>B24-C24</f>
        <v>11.343000000000004</v>
      </c>
      <c r="E24">
        <f>AVERAGEIFS(global_renewable_energy_transit!S:S,global_renewable_energy_transit!A:A,A24,global_renewable_energy_transit!D:D,2024)</f>
        <v>50.274000000000001</v>
      </c>
      <c r="F24">
        <f t="shared" si="0"/>
        <v>0.40995920000000002</v>
      </c>
    </row>
    <row r="25" spans="1:6" x14ac:dyDescent="0.25">
      <c r="A25" t="s">
        <v>29</v>
      </c>
      <c r="B25">
        <f>AVERAGEIFS(global_renewable_energy_transit!Q:Q,global_renewable_energy_transit!A:A,A25,global_renewable_energy_transit!D:D,2024)</f>
        <v>34.384999999999998</v>
      </c>
      <c r="C25">
        <f>AVERAGEIFS(global_renewable_energy_transit!Q:Q,global_renewable_energy_transit!A:A,A25,global_renewable_energy_transit!D:D,2000)</f>
        <v>32.591999999999999</v>
      </c>
      <c r="D25">
        <f>B25-C25</f>
        <v>1.7929999999999993</v>
      </c>
      <c r="E25">
        <f>AVERAGEIFS(global_renewable_energy_transit!S:S,global_renewable_energy_transit!A:A,A25,global_renewable_energy_transit!D:D,2024)</f>
        <v>41.237000000000002</v>
      </c>
      <c r="F25">
        <f t="shared" si="0"/>
        <v>0.36905660000000001</v>
      </c>
    </row>
    <row r="26" spans="1:6" x14ac:dyDescent="0.25">
      <c r="A26" t="s">
        <v>139</v>
      </c>
      <c r="B26">
        <f>AVERAGEIFS(global_renewable_energy_transit!Q:Q,global_renewable_energy_transit!A:A,A26,global_renewable_energy_transit!D:D,2024)</f>
        <v>42.281999999999996</v>
      </c>
      <c r="C26">
        <f>AVERAGEIFS(global_renewable_energy_transit!Q:Q,global_renewable_energy_transit!A:A,A26,global_renewable_energy_transit!D:D,2000)</f>
        <v>54.781999999999996</v>
      </c>
      <c r="D26">
        <f>B26-C26</f>
        <v>-12.5</v>
      </c>
      <c r="E26">
        <f>AVERAGEIFS(global_renewable_energy_transit!S:S,global_renewable_energy_transit!A:A,A26,global_renewable_energy_transit!D:D,2024)</f>
        <v>42.281999999999996</v>
      </c>
      <c r="F26">
        <f t="shared" si="0"/>
        <v>0.36545359999999999</v>
      </c>
    </row>
    <row r="27" spans="1:6" x14ac:dyDescent="0.25">
      <c r="A27" t="s">
        <v>65</v>
      </c>
      <c r="B27">
        <f>AVERAGEIFS(global_renewable_energy_transit!Q:Q,global_renewable_energy_transit!A:A,A27,global_renewable_energy_transit!D:D,2024)</f>
        <v>27.175999999999998</v>
      </c>
      <c r="C27">
        <f>AVERAGEIFS(global_renewable_energy_transit!Q:Q,global_renewable_energy_transit!A:A,A27,global_renewable_energy_transit!D:D,2000)</f>
        <v>12.737</v>
      </c>
      <c r="D27">
        <f>B27-C27</f>
        <v>14.438999999999998</v>
      </c>
      <c r="E27">
        <f>AVERAGEIFS(global_renewable_energy_transit!S:S,global_renewable_energy_transit!A:A,A27,global_renewable_energy_transit!D:D,2024)</f>
        <v>94.897999999999996</v>
      </c>
      <c r="F27">
        <f t="shared" si="0"/>
        <v>0.36021740000000002</v>
      </c>
    </row>
    <row r="28" spans="1:6" x14ac:dyDescent="0.25">
      <c r="A28" t="s">
        <v>132</v>
      </c>
      <c r="B28">
        <f>AVERAGEIFS(global_renewable_energy_transit!Q:Q,global_renewable_energy_transit!A:A,A28,global_renewable_energy_transit!D:D,2024)</f>
        <v>24.062999999999999</v>
      </c>
      <c r="C28">
        <f>AVERAGEIFS(global_renewable_energy_transit!Q:Q,global_renewable_energy_transit!A:A,A28,global_renewable_energy_transit!D:D,2000)</f>
        <v>9.23</v>
      </c>
      <c r="D28">
        <f>B28-C28</f>
        <v>14.832999999999998</v>
      </c>
      <c r="E28">
        <f>AVERAGEIFS(global_renewable_energy_transit!S:S,global_renewable_energy_transit!A:A,A28,global_renewable_energy_transit!D:D,2024)</f>
        <v>41.869</v>
      </c>
      <c r="F28">
        <f t="shared" si="0"/>
        <v>0.35644019999999998</v>
      </c>
    </row>
    <row r="29" spans="1:6" x14ac:dyDescent="0.25">
      <c r="A29" t="s">
        <v>85</v>
      </c>
      <c r="B29">
        <f>AVERAGEIFS(global_renewable_energy_transit!Q:Q,global_renewable_energy_transit!A:A,A29,global_renewable_energy_transit!D:D,2024)</f>
        <v>22.934999999999999</v>
      </c>
      <c r="C29">
        <f>AVERAGEIFS(global_renewable_energy_transit!Q:Q,global_renewable_energy_transit!A:A,A29,global_renewable_energy_transit!D:D,2000)</f>
        <v>9.1869999999999994</v>
      </c>
      <c r="D29">
        <f>B29-C29</f>
        <v>13.747999999999999</v>
      </c>
      <c r="E29">
        <f>AVERAGEIFS(global_renewable_energy_transit!S:S,global_renewable_energy_transit!A:A,A29,global_renewable_energy_transit!D:D,2024)</f>
        <v>31.289000000000001</v>
      </c>
      <c r="F29">
        <f t="shared" si="0"/>
        <v>0.34966120000000001</v>
      </c>
    </row>
    <row r="30" spans="1:6" x14ac:dyDescent="0.25">
      <c r="A30" t="s">
        <v>91</v>
      </c>
      <c r="B30">
        <f>AVERAGEIFS(global_renewable_energy_transit!Q:Q,global_renewable_energy_transit!A:A,A30,global_renewable_energy_transit!D:D,2024)</f>
        <v>20.366</v>
      </c>
      <c r="C30">
        <f>AVERAGEIFS(global_renewable_energy_transit!Q:Q,global_renewable_energy_transit!A:A,A30,global_renewable_energy_transit!D:D,2000)</f>
        <v>10.815</v>
      </c>
      <c r="D30">
        <f>B30-C30</f>
        <v>9.5510000000000002</v>
      </c>
      <c r="E30">
        <f>AVERAGEIFS(global_renewable_energy_transit!S:S,global_renewable_energy_transit!A:A,A30,global_renewable_energy_transit!D:D,2024)</f>
        <v>20.366</v>
      </c>
      <c r="F30">
        <f t="shared" si="0"/>
        <v>0.32640980000000003</v>
      </c>
    </row>
    <row r="31" spans="1:6" x14ac:dyDescent="0.25">
      <c r="A31" t="s">
        <v>59</v>
      </c>
      <c r="B31">
        <f>AVERAGEIFS(global_renewable_energy_transit!Q:Q,global_renewable_energy_transit!A:A,A31,global_renewable_energy_transit!D:D,2024)</f>
        <v>16.893000000000001</v>
      </c>
      <c r="C31">
        <f>AVERAGEIFS(global_renewable_energy_transit!Q:Q,global_renewable_energy_transit!A:A,A31,global_renewable_energy_transit!D:D,2000)</f>
        <v>3.1280000000000001</v>
      </c>
      <c r="D31">
        <f>B31-C31</f>
        <v>13.765000000000001</v>
      </c>
      <c r="E31">
        <f>AVERAGEIFS(global_renewable_energy_transit!S:S,global_renewable_energy_transit!A:A,A31,global_renewable_energy_transit!D:D,2024)</f>
        <v>57.683999999999997</v>
      </c>
      <c r="F31">
        <f t="shared" si="0"/>
        <v>0.31422320000000004</v>
      </c>
    </row>
    <row r="32" spans="1:6" x14ac:dyDescent="0.25">
      <c r="A32" t="s">
        <v>72</v>
      </c>
      <c r="B32">
        <f>AVERAGEIFS(global_renewable_energy_transit!Q:Q,global_renewable_energy_transit!A:A,A32,global_renewable_energy_transit!D:D,2024)</f>
        <v>19.808</v>
      </c>
      <c r="C32">
        <f>AVERAGEIFS(global_renewable_energy_transit!Q:Q,global_renewable_energy_transit!A:A,A32,global_renewable_energy_transit!D:D,2000)</f>
        <v>14.048</v>
      </c>
      <c r="D32">
        <f>B32-C32</f>
        <v>5.76</v>
      </c>
      <c r="E32">
        <f>AVERAGEIFS(global_renewable_energy_transit!S:S,global_renewable_energy_transit!A:A,A32,global_renewable_energy_transit!D:D,2024)</f>
        <v>22.494</v>
      </c>
      <c r="F32">
        <f t="shared" si="0"/>
        <v>0.31182120000000002</v>
      </c>
    </row>
    <row r="33" spans="1:6" x14ac:dyDescent="0.25">
      <c r="A33" t="s">
        <v>82</v>
      </c>
      <c r="B33">
        <f>AVERAGEIFS(global_renewable_energy_transit!Q:Q,global_renewable_energy_transit!A:A,A33,global_renewable_energy_transit!D:D,2024)</f>
        <v>13.805999999999999</v>
      </c>
      <c r="C33">
        <f>AVERAGEIFS(global_renewable_energy_transit!Q:Q,global_renewable_energy_transit!A:A,A33,global_renewable_energy_transit!D:D,2000)</f>
        <v>7.0000000000000007E-2</v>
      </c>
      <c r="D33">
        <f>B33-C33</f>
        <v>13.735999999999999</v>
      </c>
      <c r="E33">
        <f>AVERAGEIFS(global_renewable_energy_transit!S:S,global_renewable_energy_transit!A:A,A33,global_renewable_energy_transit!D:D,2024)</f>
        <v>13.805999999999999</v>
      </c>
      <c r="F33">
        <f t="shared" si="0"/>
        <v>0.30747679999999999</v>
      </c>
    </row>
    <row r="34" spans="1:6" x14ac:dyDescent="0.25">
      <c r="A34" t="s">
        <v>93</v>
      </c>
      <c r="B34">
        <f>AVERAGEIFS(global_renewable_energy_transit!Q:Q,global_renewable_energy_transit!A:A,A34,global_renewable_energy_transit!D:D,2024)</f>
        <v>21.116</v>
      </c>
      <c r="C34">
        <f>AVERAGEIFS(global_renewable_energy_transit!Q:Q,global_renewable_energy_transit!A:A,A34,global_renewable_energy_transit!D:D,2000)</f>
        <v>19.379000000000001</v>
      </c>
      <c r="D34">
        <f>B34-C34</f>
        <v>1.7369999999999983</v>
      </c>
      <c r="E34">
        <f>AVERAGEIFS(global_renewable_energy_transit!S:S,global_renewable_energy_transit!A:A,A34,global_renewable_energy_transit!D:D,2024)</f>
        <v>24.582000000000001</v>
      </c>
      <c r="F34">
        <f t="shared" si="0"/>
        <v>0.3058746</v>
      </c>
    </row>
    <row r="35" spans="1:6" x14ac:dyDescent="0.25">
      <c r="A35" t="s">
        <v>135</v>
      </c>
      <c r="B35">
        <f>AVERAGEIFS(global_renewable_energy_transit!Q:Q,global_renewable_energy_transit!A:A,A35,global_renewable_energy_transit!D:D,2024)</f>
        <v>15.951000000000001</v>
      </c>
      <c r="C35">
        <f>AVERAGEIFS(global_renewable_energy_transit!Q:Q,global_renewable_energy_transit!A:A,A35,global_renewable_energy_transit!D:D,2000)</f>
        <v>7.5330000000000004</v>
      </c>
      <c r="D35">
        <f>B35-C35</f>
        <v>8.4179999999999993</v>
      </c>
      <c r="E35">
        <f>AVERAGEIFS(global_renewable_energy_transit!S:S,global_renewable_energy_transit!A:A,A35,global_renewable_energy_transit!D:D,2024)</f>
        <v>15.951000000000001</v>
      </c>
      <c r="F35">
        <f t="shared" si="0"/>
        <v>0.3018188</v>
      </c>
    </row>
    <row r="36" spans="1:6" x14ac:dyDescent="0.25">
      <c r="A36" t="s">
        <v>124</v>
      </c>
      <c r="B36">
        <f>AVERAGEIFS(global_renewable_energy_transit!Q:Q,global_renewable_energy_transit!A:A,A36,global_renewable_energy_transit!D:D,2024)</f>
        <v>14.840999999999999</v>
      </c>
      <c r="C36">
        <f>AVERAGEIFS(global_renewable_energy_transit!Q:Q,global_renewable_energy_transit!A:A,A36,global_renewable_energy_transit!D:D,2000)</f>
        <v>6.7210000000000001</v>
      </c>
      <c r="D36">
        <f>B36-C36</f>
        <v>8.1199999999999992</v>
      </c>
      <c r="E36">
        <f>AVERAGEIFS(global_renewable_energy_transit!S:S,global_renewable_energy_transit!A:A,A36,global_renewable_energy_transit!D:D,2024)</f>
        <v>14.840999999999999</v>
      </c>
      <c r="F36">
        <f t="shared" si="0"/>
        <v>0.29559679999999999</v>
      </c>
    </row>
    <row r="37" spans="1:6" x14ac:dyDescent="0.25">
      <c r="A37" t="s">
        <v>108</v>
      </c>
      <c r="B37">
        <f>AVERAGEIFS(global_renewable_energy_transit!Q:Q,global_renewable_energy_transit!A:A,A37,global_renewable_energy_transit!D:D,2024)</f>
        <v>18.097999999999999</v>
      </c>
      <c r="C37">
        <f>AVERAGEIFS(global_renewable_energy_transit!Q:Q,global_renewable_energy_transit!A:A,A37,global_renewable_energy_transit!D:D,2000)</f>
        <v>18.702000000000002</v>
      </c>
      <c r="D37">
        <f>B37-C37</f>
        <v>-0.60400000000000276</v>
      </c>
      <c r="E37">
        <f>AVERAGEIFS(global_renewable_energy_transit!S:S,global_renewable_energy_transit!A:A,A37,global_renewable_energy_transit!D:D,2024)</f>
        <v>35.935000000000002</v>
      </c>
      <c r="F37">
        <f t="shared" si="0"/>
        <v>0.28149099999999999</v>
      </c>
    </row>
    <row r="38" spans="1:6" x14ac:dyDescent="0.25">
      <c r="A38" t="s">
        <v>75</v>
      </c>
      <c r="B38">
        <f>AVERAGEIFS(global_renewable_energy_transit!Q:Q,global_renewable_energy_transit!A:A,A38,global_renewable_energy_transit!D:D,2024)</f>
        <v>18.09</v>
      </c>
      <c r="C38">
        <f>AVERAGEIFS(global_renewable_energy_transit!Q:Q,global_renewable_energy_transit!A:A,A38,global_renewable_energy_transit!D:D,2000)</f>
        <v>19.992000000000001</v>
      </c>
      <c r="D38">
        <f>B38-C38</f>
        <v>-1.902000000000001</v>
      </c>
      <c r="E38">
        <f>AVERAGEIFS(global_renewable_energy_transit!S:S,global_renewable_energy_transit!A:A,A38,global_renewable_energy_transit!D:D,2024)</f>
        <v>18.09</v>
      </c>
      <c r="F38">
        <f t="shared" si="0"/>
        <v>0.28112599999999999</v>
      </c>
    </row>
    <row r="39" spans="1:6" x14ac:dyDescent="0.25">
      <c r="A39" t="s">
        <v>122</v>
      </c>
      <c r="B39">
        <f>AVERAGEIFS(global_renewable_energy_transit!Q:Q,global_renewable_energy_transit!A:A,A39,global_renewable_energy_transit!D:D,2024)</f>
        <v>10.92</v>
      </c>
      <c r="C39">
        <f>AVERAGEIFS(global_renewable_energy_transit!Q:Q,global_renewable_energy_transit!A:A,A39,global_renewable_energy_transit!D:D,2000)</f>
        <v>3.0350000000000001</v>
      </c>
      <c r="D39">
        <f>B39-C39</f>
        <v>7.8849999999999998</v>
      </c>
      <c r="E39">
        <f>AVERAGEIFS(global_renewable_energy_transit!S:S,global_renewable_energy_transit!A:A,A39,global_renewable_energy_transit!D:D,2024)</f>
        <v>15.141</v>
      </c>
      <c r="F39">
        <f t="shared" si="0"/>
        <v>0.27522680000000005</v>
      </c>
    </row>
    <row r="40" spans="1:6" x14ac:dyDescent="0.25">
      <c r="A40" t="s">
        <v>88</v>
      </c>
      <c r="B40">
        <f>AVERAGEIFS(global_renewable_energy_transit!Q:Q,global_renewable_energy_transit!A:A,A40,global_renewable_energy_transit!D:D,2024)</f>
        <v>15.214</v>
      </c>
      <c r="C40">
        <f>AVERAGEIFS(global_renewable_energy_transit!Q:Q,global_renewable_energy_transit!A:A,A40,global_renewable_energy_transit!D:D,2000)</f>
        <v>14.582000000000001</v>
      </c>
      <c r="D40">
        <f>B40-C40</f>
        <v>0.63199999999999967</v>
      </c>
      <c r="E40">
        <f>AVERAGEIFS(global_renewable_energy_transit!S:S,global_renewable_energy_transit!A:A,A40,global_renewable_energy_transit!D:D,2024)</f>
        <v>15.214</v>
      </c>
      <c r="F40">
        <f t="shared" si="0"/>
        <v>0.27492320000000003</v>
      </c>
    </row>
    <row r="41" spans="1:6" x14ac:dyDescent="0.25">
      <c r="A41" t="s">
        <v>114</v>
      </c>
      <c r="B41">
        <f>AVERAGEIFS(global_renewable_energy_transit!Q:Q,global_renewable_energy_transit!A:A,A41,global_renewable_energy_transit!D:D,2024)</f>
        <v>9.7089999999999996</v>
      </c>
      <c r="C41">
        <f>AVERAGEIFS(global_renewable_energy_transit!Q:Q,global_renewable_energy_transit!A:A,A41,global_renewable_energy_transit!D:D,2000)</f>
        <v>1.4179999999999999</v>
      </c>
      <c r="D41">
        <f>B41-C41</f>
        <v>8.2910000000000004</v>
      </c>
      <c r="E41">
        <f>AVERAGEIFS(global_renewable_energy_transit!S:S,global_renewable_energy_transit!A:A,A41,global_renewable_energy_transit!D:D,2024)</f>
        <v>39.890999999999998</v>
      </c>
      <c r="F41">
        <f t="shared" si="0"/>
        <v>0.2654398</v>
      </c>
    </row>
    <row r="42" spans="1:6" x14ac:dyDescent="0.25">
      <c r="A42" t="s">
        <v>128</v>
      </c>
      <c r="B42">
        <f>AVERAGEIFS(global_renewable_energy_transit!Q:Q,global_renewable_energy_transit!A:A,A42,global_renewable_energy_transit!D:D,2024)</f>
        <v>8.8119999999999994</v>
      </c>
      <c r="C42">
        <f>AVERAGEIFS(global_renewable_energy_transit!Q:Q,global_renewable_energy_transit!A:A,A42,global_renewable_energy_transit!D:D,2000)</f>
        <v>0</v>
      </c>
      <c r="D42">
        <f>B42-C42</f>
        <v>8.8119999999999994</v>
      </c>
      <c r="E42">
        <f>AVERAGEIFS(global_renewable_energy_transit!S:S,global_renewable_energy_transit!A:A,A42,global_renewable_energy_transit!D:D,2024)</f>
        <v>31.733000000000001</v>
      </c>
      <c r="F42">
        <f t="shared" si="0"/>
        <v>0.26414939999999998</v>
      </c>
    </row>
    <row r="43" spans="1:6" x14ac:dyDescent="0.25">
      <c r="A43" t="s">
        <v>112</v>
      </c>
      <c r="B43">
        <f>AVERAGEIFS(global_renewable_energy_transit!Q:Q,global_renewable_energy_transit!A:A,A43,global_renewable_energy_transit!D:D,2024)</f>
        <v>4.9320000000000004</v>
      </c>
      <c r="C43">
        <f>AVERAGEIFS(global_renewable_energy_transit!Q:Q,global_renewable_energy_transit!A:A,A43,global_renewable_energy_transit!D:D,2000)</f>
        <v>1.5469999999999999</v>
      </c>
      <c r="D43">
        <f>B43-C43</f>
        <v>3.3850000000000007</v>
      </c>
      <c r="E43">
        <f>AVERAGEIFS(global_renewable_energy_transit!S:S,global_renewable_energy_transit!A:A,A43,global_renewable_energy_transit!D:D,2024)</f>
        <v>4.9320000000000004</v>
      </c>
      <c r="F43">
        <f t="shared" si="0"/>
        <v>0.2338286</v>
      </c>
    </row>
    <row r="44" spans="1:6" x14ac:dyDescent="0.25">
      <c r="A44" t="s">
        <v>77</v>
      </c>
      <c r="B44">
        <f>AVERAGEIFS(global_renewable_energy_transit!Q:Q,global_renewable_energy_transit!A:A,A44,global_renewable_energy_transit!D:D,2024)</f>
        <v>5.3179999999999996</v>
      </c>
      <c r="C44">
        <f>AVERAGEIFS(global_renewable_energy_transit!Q:Q,global_renewable_energy_transit!A:A,A44,global_renewable_energy_transit!D:D,2000)</f>
        <v>3.2010000000000001</v>
      </c>
      <c r="D44">
        <f>B44-C44</f>
        <v>2.1169999999999995</v>
      </c>
      <c r="E44">
        <f>AVERAGEIFS(global_renewable_energy_transit!S:S,global_renewable_energy_transit!A:A,A44,global_renewable_energy_transit!D:D,2024)</f>
        <v>7.1760000000000002</v>
      </c>
      <c r="F44">
        <f t="shared" si="0"/>
        <v>0.23150580000000001</v>
      </c>
    </row>
    <row r="45" spans="1:6" x14ac:dyDescent="0.25">
      <c r="A45" t="s">
        <v>103</v>
      </c>
      <c r="B45">
        <f>AVERAGEIFS(global_renewable_energy_transit!Q:Q,global_renewable_energy_transit!A:A,A45,global_renewable_energy_transit!D:D,2024)</f>
        <v>20.472000000000001</v>
      </c>
      <c r="C45">
        <f>AVERAGEIFS(global_renewable_energy_transit!Q:Q,global_renewable_energy_transit!A:A,A45,global_renewable_energy_transit!D:D,2000)</f>
        <v>42.892000000000003</v>
      </c>
      <c r="D45">
        <f>B45-C45</f>
        <v>-22.42</v>
      </c>
      <c r="E45">
        <f>AVERAGEIFS(global_renewable_energy_transit!S:S,global_renewable_energy_transit!A:A,A45,global_renewable_energy_transit!D:D,2024)</f>
        <v>20.472000000000001</v>
      </c>
      <c r="F45">
        <f t="shared" si="0"/>
        <v>0.23100560000000003</v>
      </c>
    </row>
    <row r="46" spans="1:6" x14ac:dyDescent="0.25">
      <c r="A46" t="s">
        <v>61</v>
      </c>
      <c r="B46">
        <f>AVERAGEIFS(global_renewable_energy_transit!Q:Q,global_renewable_energy_transit!A:A,A46,global_renewable_energy_transit!D:D,2024)</f>
        <v>11.196999999999999</v>
      </c>
      <c r="C46">
        <f>AVERAGEIFS(global_renewable_energy_transit!Q:Q,global_renewable_energy_transit!A:A,A46,global_renewable_energy_transit!D:D,2000)</f>
        <v>19.449000000000002</v>
      </c>
      <c r="D46">
        <f>B46-C46</f>
        <v>-8.2520000000000024</v>
      </c>
      <c r="E46">
        <f>AVERAGEIFS(global_renewable_energy_transit!S:S,global_renewable_energy_transit!A:A,A46,global_renewable_energy_transit!D:D,2024)</f>
        <v>11.196999999999999</v>
      </c>
      <c r="F46">
        <f t="shared" si="0"/>
        <v>0.22898959999999999</v>
      </c>
    </row>
    <row r="47" spans="1:6" x14ac:dyDescent="0.25">
      <c r="A47" t="s">
        <v>89</v>
      </c>
      <c r="B47">
        <f>AVERAGEIFS(global_renewable_energy_transit!Q:Q,global_renewable_energy_transit!A:A,A47,global_renewable_energy_transit!D:D,2024)</f>
        <v>2.238</v>
      </c>
      <c r="C47">
        <f>AVERAGEIFS(global_renewable_energy_transit!Q:Q,global_renewable_energy_transit!A:A,A47,global_renewable_energy_transit!D:D,2000)</f>
        <v>0</v>
      </c>
      <c r="D47">
        <f>B47-C47</f>
        <v>2.238</v>
      </c>
      <c r="E47">
        <f>AVERAGEIFS(global_renewable_energy_transit!S:S,global_renewable_energy_transit!A:A,A47,global_renewable_energy_transit!D:D,2024)</f>
        <v>2.238</v>
      </c>
      <c r="F47">
        <f t="shared" si="0"/>
        <v>0.21745640000000002</v>
      </c>
    </row>
    <row r="48" spans="1:6" x14ac:dyDescent="0.25">
      <c r="A48" t="s">
        <v>110</v>
      </c>
      <c r="B48">
        <f>AVERAGEIFS(global_renewable_energy_transit!Q:Q,global_renewable_energy_transit!A:A,A48,global_renewable_energy_transit!D:D,2024)</f>
        <v>2.16</v>
      </c>
      <c r="C48">
        <f>AVERAGEIFS(global_renewable_energy_transit!Q:Q,global_renewable_energy_transit!A:A,A48,global_renewable_energy_transit!D:D,2000)</f>
        <v>0</v>
      </c>
      <c r="D48">
        <f>B48-C48</f>
        <v>2.16</v>
      </c>
      <c r="E48">
        <f>AVERAGEIFS(global_renewable_energy_transit!S:S,global_renewable_energy_transit!A:A,A48,global_renewable_energy_transit!D:D,2024)</f>
        <v>2.16</v>
      </c>
      <c r="F48">
        <f t="shared" si="0"/>
        <v>0.21684799999999999</v>
      </c>
    </row>
    <row r="49" spans="1:6" x14ac:dyDescent="0.25">
      <c r="A49" t="s">
        <v>25</v>
      </c>
      <c r="B49">
        <f>AVERAGEIFS(global_renewable_energy_transit!Q:Q,global_renewable_energy_transit!A:A,A49,global_renewable_energy_transit!D:D,2024)</f>
        <v>1.069</v>
      </c>
      <c r="C49">
        <f>AVERAGEIFS(global_renewable_energy_transit!Q:Q,global_renewable_energy_transit!A:A,A49,global_renewable_energy_transit!D:D,2000)</f>
        <v>0.19700000000000001</v>
      </c>
      <c r="D49">
        <f>B49-C49</f>
        <v>0.87199999999999989</v>
      </c>
      <c r="E49">
        <f>AVERAGEIFS(global_renewable_energy_transit!S:S,global_renewable_energy_transit!A:A,A49,global_renewable_energy_transit!D:D,2024)</f>
        <v>1.069</v>
      </c>
      <c r="F49">
        <f t="shared" si="0"/>
        <v>0.20774720000000002</v>
      </c>
    </row>
    <row r="50" spans="1:6" x14ac:dyDescent="0.25">
      <c r="A50" t="s">
        <v>80</v>
      </c>
      <c r="B50">
        <f>AVERAGEIFS(global_renewable_energy_transit!Q:Q,global_renewable_energy_transit!A:A,A50,global_renewable_energy_transit!D:D,2024)</f>
        <v>1.623</v>
      </c>
      <c r="C50">
        <f>AVERAGEIFS(global_renewable_energy_transit!Q:Q,global_renewable_energy_transit!A:A,A50,global_renewable_energy_transit!D:D,2000)</f>
        <v>1.9119999999999999</v>
      </c>
      <c r="D50">
        <f>B50-C50</f>
        <v>-0.28899999999999992</v>
      </c>
      <c r="E50">
        <f>AVERAGEIFS(global_renewable_energy_transit!S:S,global_renewable_energy_transit!A:A,A50,global_renewable_energy_transit!D:D,2024)</f>
        <v>1.623</v>
      </c>
      <c r="F50">
        <f t="shared" si="0"/>
        <v>0.20692340000000001</v>
      </c>
    </row>
    <row r="51" spans="1:6" x14ac:dyDescent="0.25">
      <c r="A51" t="s">
        <v>40</v>
      </c>
      <c r="B51">
        <f>AVERAGEIFS(global_renewable_energy_transit!Q:Q,global_renewable_energy_transit!A:A,A51,global_renewable_energy_transit!D:D,2024)</f>
        <v>1.887</v>
      </c>
      <c r="C51">
        <f>AVERAGEIFS(global_renewable_energy_transit!Q:Q,global_renewable_energy_transit!A:A,A51,global_renewable_energy_transit!D:D,2000)</f>
        <v>5.8970000000000002</v>
      </c>
      <c r="D51">
        <f>B51-C51</f>
        <v>-4.01</v>
      </c>
      <c r="E51">
        <f>AVERAGEIFS(global_renewable_energy_transit!S:S,global_renewable_energy_transit!A:A,A51,global_renewable_energy_transit!D:D,2024)</f>
        <v>1.887</v>
      </c>
      <c r="F51">
        <f t="shared" si="0"/>
        <v>0.19702760000000002</v>
      </c>
    </row>
  </sheetData>
  <sortState xmlns:xlrd2="http://schemas.microsoft.com/office/spreadsheetml/2017/richdata2" ref="A2:F51">
    <sortCondition descending="1" ref="F2:F51"/>
  </sortState>
  <conditionalFormatting sqref="F2:F5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data_quality_log</vt:lpstr>
      <vt:lpstr>global_renewable_energy_transit</vt:lpstr>
      <vt:lpstr>country_scorecard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sadeq soltani</dc:creator>
  <cp:lastModifiedBy>sadeq soltani</cp:lastModifiedBy>
  <dcterms:created xsi:type="dcterms:W3CDTF">2026-06-10T20:13:27Z</dcterms:created>
  <dcterms:modified xsi:type="dcterms:W3CDTF">2026-06-11T16:20:00Z</dcterms:modified>
</cp:coreProperties>
</file>